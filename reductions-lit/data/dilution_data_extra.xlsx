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83430_uni_au_dk/Documents/Documents/GitHub/GD-NH3/reductions-lit/data/"/>
    </mc:Choice>
  </mc:AlternateContent>
  <xr:revisionPtr revIDLastSave="51" documentId="8_{A159C0DB-AC25-4DE9-8CEC-DA3CD6C5DB26}" xr6:coauthVersionLast="47" xr6:coauthVersionMax="47" xr10:uidLastSave="{3FB5D6F2-A512-4992-923B-0F2FB8CBFA4F}"/>
  <bookViews>
    <workbookView xWindow="-120" yWindow="-120" windowWidth="29040" windowHeight="17520" xr2:uid="{122F0065-8602-49EC-B7E3-7261009AF15D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2" i="2"/>
  <c r="K26" i="2"/>
  <c r="M26" i="2" s="1"/>
  <c r="K25" i="2"/>
  <c r="M25" i="2" s="1"/>
  <c r="K24" i="2"/>
  <c r="M24" i="2" s="1"/>
  <c r="K23" i="2"/>
  <c r="K22" i="2"/>
  <c r="K21" i="2"/>
  <c r="K20" i="2"/>
  <c r="K19" i="2"/>
  <c r="K18" i="2"/>
  <c r="M18" i="2" s="1"/>
  <c r="K17" i="2"/>
  <c r="K16" i="2"/>
  <c r="K15" i="2"/>
  <c r="J26" i="2"/>
  <c r="J25" i="2"/>
  <c r="J24" i="2"/>
  <c r="J23" i="2"/>
  <c r="J22" i="2"/>
  <c r="J21" i="2"/>
  <c r="J20" i="2"/>
  <c r="J19" i="2"/>
  <c r="J18" i="2"/>
  <c r="J17" i="2"/>
  <c r="J16" i="2"/>
  <c r="J15" i="2"/>
  <c r="M15" i="2" s="1"/>
  <c r="M19" i="2" l="1"/>
  <c r="M16" i="2"/>
  <c r="M17" i="2"/>
  <c r="M20" i="2"/>
  <c r="M21" i="2"/>
  <c r="M22" i="2"/>
  <c r="M23" i="2"/>
</calcChain>
</file>

<file path=xl/sharedStrings.xml><?xml version="1.0" encoding="utf-8"?>
<sst xmlns="http://schemas.openxmlformats.org/spreadsheetml/2006/main" count="309" uniqueCount="73">
  <si>
    <t>Table 5</t>
  </si>
  <si>
    <t>D20</t>
  </si>
  <si>
    <t>D60</t>
  </si>
  <si>
    <t>D80</t>
  </si>
  <si>
    <t>D100</t>
  </si>
  <si>
    <t>D120</t>
  </si>
  <si>
    <t>D140</t>
  </si>
  <si>
    <t>doi:10.1016/j.agee.2008.11.012</t>
  </si>
  <si>
    <t>ID</t>
  </si>
  <si>
    <t>grass</t>
  </si>
  <si>
    <t>hog slurry</t>
  </si>
  <si>
    <t>25 aug 2003</t>
  </si>
  <si>
    <t>18 jun 2004</t>
  </si>
  <si>
    <t>9 aug 2005</t>
  </si>
  <si>
    <t>30 aug 2005</t>
  </si>
  <si>
    <t>2 sep 2004</t>
  </si>
  <si>
    <t>21 sep 2004</t>
  </si>
  <si>
    <t xml:space="preserve">very low losses, due to measurements with static chambers? </t>
  </si>
  <si>
    <t>doi:10.1016/j.agee.2008.11.013</t>
  </si>
  <si>
    <t>doi:10.1016/j.agee.2008.11.014</t>
  </si>
  <si>
    <t>doi:10.1016/j.agee.2008.11.015</t>
  </si>
  <si>
    <t>doi:10.1016/j.agee.2008.11.016</t>
  </si>
  <si>
    <t>doi:10.1016/j.agee.2008.11.017</t>
  </si>
  <si>
    <t>separated cattle slurry</t>
  </si>
  <si>
    <t>D40</t>
  </si>
  <si>
    <t>%TAN</t>
  </si>
  <si>
    <t>kg N</t>
  </si>
  <si>
    <t xml:space="preserve">? </t>
  </si>
  <si>
    <t>splash plate</t>
  </si>
  <si>
    <t>app rate of slurry solids = 0.8 ton/ha</t>
  </si>
  <si>
    <t>app rate of slurry solids = 1.5 ton/ha</t>
  </si>
  <si>
    <t>app rate of slurry solids = 3.1 ton/ha</t>
  </si>
  <si>
    <t>app rate of slurry solids = 6.2 ton/ha</t>
  </si>
  <si>
    <t>surface spreading</t>
  </si>
  <si>
    <t>cattle slurry</t>
  </si>
  <si>
    <t>very low losses, due to measurements with static chambers? Only measurements for 4 hours</t>
  </si>
  <si>
    <t>Beudert et al., 1988</t>
  </si>
  <si>
    <t>Verdünnung 1:0.5; 5C</t>
  </si>
  <si>
    <t>Verdünnung 1:0.5; 15C</t>
  </si>
  <si>
    <t>Verdünnung 1:0.5; 25C</t>
  </si>
  <si>
    <t>Verdünnung 1:1, 5C</t>
  </si>
  <si>
    <t>Verdünnung 1:1, 15C</t>
  </si>
  <si>
    <t>Verdünnung 1:1, 25C</t>
  </si>
  <si>
    <t>Verdünnung 1:2, 5C</t>
  </si>
  <si>
    <t>Verdünnung 1:2, 15C</t>
  </si>
  <si>
    <t>Verdünnung 1:2, 25C</t>
  </si>
  <si>
    <t>Table 4</t>
  </si>
  <si>
    <t>lab</t>
  </si>
  <si>
    <t>Triesdorf 1</t>
  </si>
  <si>
    <t>Triesdorf 2</t>
  </si>
  <si>
    <t>Spitalhof 1</t>
  </si>
  <si>
    <t>Spitalhof 2</t>
  </si>
  <si>
    <t>doi.org/10.1017/S0021859600012223</t>
  </si>
  <si>
    <t>10.1111/j.1365-2494.1994.tb02015.x</t>
  </si>
  <si>
    <t>study</t>
  </si>
  <si>
    <t>doi</t>
  </si>
  <si>
    <t>crop</t>
  </si>
  <si>
    <t>app.meth</t>
  </si>
  <si>
    <t>ref.slurry</t>
  </si>
  <si>
    <t>ref.dm</t>
  </si>
  <si>
    <t>dil.fac</t>
  </si>
  <si>
    <t>ref.loss</t>
  </si>
  <si>
    <t>dil.loss</t>
  </si>
  <si>
    <t>loss.unit</t>
  </si>
  <si>
    <t>ref.paper</t>
  </si>
  <si>
    <t>notes</t>
  </si>
  <si>
    <t>red</t>
  </si>
  <si>
    <t>Mkhabela et al., 2009</t>
  </si>
  <si>
    <t>Stevens et al., 1992</t>
  </si>
  <si>
    <t>Frost et al., 1994</t>
  </si>
  <si>
    <t>Freibauer and Knöferl, 2025</t>
  </si>
  <si>
    <t>dil.facA</t>
  </si>
  <si>
    <t>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</si>
</sst>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9" fontId="0" fillId="0" borderId="0" xfId="0" applyNumberFormat="1"/>
    <xf numFmtId="0" fontId="2" fillId="0" borderId="0" xfId="1"/>
    <xf numFmtId="164" fontId="0" fillId="0" borderId="0" xfId="0" applyNumberFormat="1"/>
    <xf numFmtId="0" fontId="2" fillId="0" borderId="0" xfId="1" applyAlignment="1">
      <alignment horizontal="left" vertical="center" indent="1"/>
    </xf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x.doi.org/10.1111/j.1365-2494.1994.tb02015.x" TargetMode="External"/><Relationship Id="rId13" Type="http://schemas.openxmlformats.org/officeDocument/2006/relationships/hyperlink" Target="http://dx.doi.org/10.1111/j.1365-2494.1994.tb02015.x" TargetMode="External"/><Relationship Id="rId18" Type="http://schemas.openxmlformats.org/officeDocument/2006/relationships/hyperlink" Target="http://dx.doi.org/10.1111/j.1365-2494.1994.tb02015.x" TargetMode="External"/><Relationship Id="rId3" Type="http://schemas.openxmlformats.org/officeDocument/2006/relationships/hyperlink" Target="https://doi.org/10.1017/S0021859600012223" TargetMode="External"/><Relationship Id="rId7" Type="http://schemas.openxmlformats.org/officeDocument/2006/relationships/hyperlink" Target="https://doi.org/10.1017/S0021859600012223" TargetMode="External"/><Relationship Id="rId12" Type="http://schemas.openxmlformats.org/officeDocument/2006/relationships/hyperlink" Target="http://dx.doi.org/10.1111/j.1365-2494.1994.tb02015.x" TargetMode="External"/><Relationship Id="rId17" Type="http://schemas.openxmlformats.org/officeDocument/2006/relationships/hyperlink" Target="http://dx.doi.org/10.1111/j.1365-2494.1994.tb02015.x" TargetMode="External"/><Relationship Id="rId2" Type="http://schemas.openxmlformats.org/officeDocument/2006/relationships/hyperlink" Target="https://doi.org/10.1017/S0021859600012223" TargetMode="External"/><Relationship Id="rId16" Type="http://schemas.openxmlformats.org/officeDocument/2006/relationships/hyperlink" Target="http://dx.doi.org/10.1111/j.1365-2494.1994.tb02015.x" TargetMode="External"/><Relationship Id="rId1" Type="http://schemas.openxmlformats.org/officeDocument/2006/relationships/hyperlink" Target="https://doi.org/10.1017/S0021859600012223" TargetMode="External"/><Relationship Id="rId6" Type="http://schemas.openxmlformats.org/officeDocument/2006/relationships/hyperlink" Target="https://doi.org/10.1017/S0021859600012223" TargetMode="External"/><Relationship Id="rId11" Type="http://schemas.openxmlformats.org/officeDocument/2006/relationships/hyperlink" Target="http://dx.doi.org/10.1111/j.1365-2494.1994.tb02015.x" TargetMode="External"/><Relationship Id="rId5" Type="http://schemas.openxmlformats.org/officeDocument/2006/relationships/hyperlink" Target="https://doi.org/10.1017/S0021859600012223" TargetMode="External"/><Relationship Id="rId15" Type="http://schemas.openxmlformats.org/officeDocument/2006/relationships/hyperlink" Target="http://dx.doi.org/10.1111/j.1365-2494.1994.tb02015.x" TargetMode="External"/><Relationship Id="rId10" Type="http://schemas.openxmlformats.org/officeDocument/2006/relationships/hyperlink" Target="http://dx.doi.org/10.1111/j.1365-2494.1994.tb02015.x" TargetMode="External"/><Relationship Id="rId19" Type="http://schemas.openxmlformats.org/officeDocument/2006/relationships/hyperlink" Target="http://dx.doi.org/10.1111/j.1365-2494.1994.tb02015.x" TargetMode="External"/><Relationship Id="rId4" Type="http://schemas.openxmlformats.org/officeDocument/2006/relationships/hyperlink" Target="https://doi.org/10.1017/S0021859600012223" TargetMode="External"/><Relationship Id="rId9" Type="http://schemas.openxmlformats.org/officeDocument/2006/relationships/hyperlink" Target="http://dx.doi.org/10.1111/j.1365-2494.1994.tb02015.x" TargetMode="External"/><Relationship Id="rId14" Type="http://schemas.openxmlformats.org/officeDocument/2006/relationships/hyperlink" Target="http://dx.doi.org/10.1111/j.1365-2494.1994.tb02015.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324F-EBFB-4825-BA7E-D1F948945CF9}">
  <dimension ref="A1:O1048552"/>
  <sheetViews>
    <sheetView tabSelected="1" workbookViewId="0">
      <selection activeCell="R5" sqref="R5"/>
    </sheetView>
  </sheetViews>
  <sheetFormatPr defaultRowHeight="15" x14ac:dyDescent="0.25"/>
  <cols>
    <col min="1" max="1" width="20.5703125" customWidth="1"/>
    <col min="2" max="2" width="10.7109375" customWidth="1"/>
    <col min="3" max="3" width="13.28515625" customWidth="1"/>
    <col min="4" max="4" width="10.7109375" customWidth="1"/>
    <col min="5" max="5" width="14.7109375" customWidth="1"/>
    <col min="6" max="6" width="13" customWidth="1"/>
    <col min="7" max="7" width="14.42578125" customWidth="1"/>
    <col min="9" max="9" width="9.140625" style="3"/>
    <col min="10" max="10" width="13" customWidth="1"/>
    <col min="13" max="13" width="18" customWidth="1"/>
  </cols>
  <sheetData>
    <row r="1" spans="1:15" x14ac:dyDescent="0.25">
      <c r="A1" s="2" t="s">
        <v>54</v>
      </c>
      <c r="B1" s="2" t="s">
        <v>55</v>
      </c>
      <c r="C1" s="2" t="s">
        <v>8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8" t="s">
        <v>71</v>
      </c>
      <c r="J1" s="2" t="s">
        <v>61</v>
      </c>
      <c r="K1" s="2" t="s">
        <v>62</v>
      </c>
      <c r="L1" s="2" t="s">
        <v>63</v>
      </c>
      <c r="M1" s="2" t="s">
        <v>66</v>
      </c>
      <c r="N1" s="2" t="s">
        <v>64</v>
      </c>
      <c r="O1" s="2" t="s">
        <v>65</v>
      </c>
    </row>
    <row r="2" spans="1:15" x14ac:dyDescent="0.25">
      <c r="A2" t="s">
        <v>67</v>
      </c>
      <c r="B2" t="s">
        <v>7</v>
      </c>
      <c r="C2" s="3" t="s">
        <v>11</v>
      </c>
      <c r="D2" t="s">
        <v>9</v>
      </c>
      <c r="E2" t="s">
        <v>27</v>
      </c>
      <c r="F2" t="s">
        <v>10</v>
      </c>
      <c r="G2">
        <v>3.96</v>
      </c>
      <c r="H2" s="4">
        <v>0.25</v>
      </c>
      <c r="J2">
        <v>8.6</v>
      </c>
      <c r="K2">
        <v>6.7</v>
      </c>
      <c r="L2" t="s">
        <v>25</v>
      </c>
      <c r="M2" s="1">
        <f>(1-(K2/J2))*100</f>
        <v>22.093023255813947</v>
      </c>
      <c r="N2" t="s">
        <v>0</v>
      </c>
      <c r="O2" t="s">
        <v>17</v>
      </c>
    </row>
    <row r="3" spans="1:15" x14ac:dyDescent="0.25">
      <c r="A3" t="s">
        <v>67</v>
      </c>
      <c r="B3" t="s">
        <v>18</v>
      </c>
      <c r="C3" s="3" t="s">
        <v>12</v>
      </c>
      <c r="D3" t="s">
        <v>9</v>
      </c>
      <c r="E3" t="s">
        <v>27</v>
      </c>
      <c r="F3" t="s">
        <v>10</v>
      </c>
      <c r="G3">
        <v>2.4900000000000002</v>
      </c>
      <c r="H3" s="4">
        <v>0.5</v>
      </c>
      <c r="J3">
        <v>2.9</v>
      </c>
      <c r="K3">
        <v>2</v>
      </c>
      <c r="L3" t="s">
        <v>25</v>
      </c>
      <c r="M3" s="1">
        <f t="shared" ref="M3:M39" si="0">(1-(K3/J3))*100</f>
        <v>31.034482758620683</v>
      </c>
      <c r="N3" t="s">
        <v>0</v>
      </c>
      <c r="O3" t="s">
        <v>17</v>
      </c>
    </row>
    <row r="4" spans="1:15" x14ac:dyDescent="0.25">
      <c r="A4" t="s">
        <v>67</v>
      </c>
      <c r="B4" t="s">
        <v>19</v>
      </c>
      <c r="C4" s="3" t="s">
        <v>15</v>
      </c>
      <c r="D4" t="s">
        <v>9</v>
      </c>
      <c r="E4" t="s">
        <v>27</v>
      </c>
      <c r="F4" t="s">
        <v>10</v>
      </c>
      <c r="G4">
        <v>2.4900000000000002</v>
      </c>
      <c r="H4" s="4">
        <v>1</v>
      </c>
      <c r="I4" s="3" t="s">
        <v>72</v>
      </c>
      <c r="J4">
        <v>6</v>
      </c>
      <c r="K4">
        <v>4</v>
      </c>
      <c r="L4" t="s">
        <v>25</v>
      </c>
      <c r="M4" s="1">
        <f t="shared" si="0"/>
        <v>33.333333333333336</v>
      </c>
      <c r="N4" t="s">
        <v>0</v>
      </c>
      <c r="O4" t="s">
        <v>17</v>
      </c>
    </row>
    <row r="5" spans="1:15" x14ac:dyDescent="0.25">
      <c r="A5" t="s">
        <v>67</v>
      </c>
      <c r="B5" t="s">
        <v>20</v>
      </c>
      <c r="C5" s="3" t="s">
        <v>16</v>
      </c>
      <c r="D5" t="s">
        <v>9</v>
      </c>
      <c r="E5" t="s">
        <v>27</v>
      </c>
      <c r="F5" t="s">
        <v>10</v>
      </c>
      <c r="G5">
        <v>2.4900000000000002</v>
      </c>
      <c r="H5" s="4">
        <v>1</v>
      </c>
      <c r="I5" s="3" t="s">
        <v>72</v>
      </c>
      <c r="J5">
        <v>3.8</v>
      </c>
      <c r="K5">
        <v>1.6</v>
      </c>
      <c r="L5" t="s">
        <v>25</v>
      </c>
      <c r="M5" s="1">
        <f t="shared" si="0"/>
        <v>57.894736842105267</v>
      </c>
      <c r="N5" t="s">
        <v>0</v>
      </c>
      <c r="O5" t="s">
        <v>17</v>
      </c>
    </row>
    <row r="6" spans="1:15" x14ac:dyDescent="0.25">
      <c r="A6" t="s">
        <v>67</v>
      </c>
      <c r="B6" t="s">
        <v>21</v>
      </c>
      <c r="C6" s="3" t="s">
        <v>13</v>
      </c>
      <c r="D6" t="s">
        <v>9</v>
      </c>
      <c r="E6" t="s">
        <v>27</v>
      </c>
      <c r="F6" t="s">
        <v>10</v>
      </c>
      <c r="G6">
        <v>4.7300000000000004</v>
      </c>
      <c r="H6" s="4">
        <v>1</v>
      </c>
      <c r="I6" s="3" t="s">
        <v>72</v>
      </c>
      <c r="J6">
        <v>35.200000000000003</v>
      </c>
      <c r="K6">
        <v>35.1</v>
      </c>
      <c r="L6" t="s">
        <v>25</v>
      </c>
      <c r="M6" s="1">
        <f t="shared" si="0"/>
        <v>0.28409090909091717</v>
      </c>
      <c r="N6" t="s">
        <v>0</v>
      </c>
    </row>
    <row r="7" spans="1:15" x14ac:dyDescent="0.25">
      <c r="A7" t="s">
        <v>67</v>
      </c>
      <c r="B7" t="s">
        <v>22</v>
      </c>
      <c r="C7" s="3" t="s">
        <v>14</v>
      </c>
      <c r="D7" t="s">
        <v>9</v>
      </c>
      <c r="E7" t="s">
        <v>27</v>
      </c>
      <c r="F7" t="s">
        <v>10</v>
      </c>
      <c r="G7">
        <v>4.7300000000000004</v>
      </c>
      <c r="H7" s="4">
        <v>1</v>
      </c>
      <c r="I7" s="3" t="s">
        <v>72</v>
      </c>
      <c r="J7">
        <v>17.100000000000001</v>
      </c>
      <c r="K7">
        <v>11.4</v>
      </c>
      <c r="L7" t="s">
        <v>25</v>
      </c>
      <c r="M7" s="1">
        <f t="shared" si="0"/>
        <v>33.333333333333336</v>
      </c>
      <c r="N7" t="s">
        <v>0</v>
      </c>
    </row>
    <row r="8" spans="1:15" x14ac:dyDescent="0.25">
      <c r="A8" t="s">
        <v>68</v>
      </c>
      <c r="B8" s="5" t="s">
        <v>52</v>
      </c>
      <c r="C8" s="3" t="s">
        <v>1</v>
      </c>
      <c r="D8" t="s">
        <v>9</v>
      </c>
      <c r="E8" t="s">
        <v>28</v>
      </c>
      <c r="F8" t="s">
        <v>23</v>
      </c>
      <c r="G8">
        <v>10.5</v>
      </c>
      <c r="H8" s="4">
        <v>0.2</v>
      </c>
      <c r="J8">
        <v>26</v>
      </c>
      <c r="K8">
        <v>24</v>
      </c>
      <c r="L8" t="s">
        <v>26</v>
      </c>
      <c r="M8" s="1">
        <f t="shared" si="0"/>
        <v>7.6923076923076872</v>
      </c>
    </row>
    <row r="9" spans="1:15" x14ac:dyDescent="0.25">
      <c r="A9" t="s">
        <v>68</v>
      </c>
      <c r="B9" s="5" t="s">
        <v>52</v>
      </c>
      <c r="C9" s="3" t="s">
        <v>24</v>
      </c>
      <c r="D9" t="s">
        <v>9</v>
      </c>
      <c r="E9" t="s">
        <v>28</v>
      </c>
      <c r="F9" t="s">
        <v>23</v>
      </c>
      <c r="G9">
        <v>10.5</v>
      </c>
      <c r="H9" s="4">
        <v>0.4</v>
      </c>
      <c r="J9">
        <v>26</v>
      </c>
      <c r="K9">
        <v>23</v>
      </c>
      <c r="M9" s="1">
        <f t="shared" si="0"/>
        <v>11.538461538461542</v>
      </c>
    </row>
    <row r="10" spans="1:15" x14ac:dyDescent="0.25">
      <c r="A10" t="s">
        <v>68</v>
      </c>
      <c r="B10" s="5" t="s">
        <v>52</v>
      </c>
      <c r="C10" s="3" t="s">
        <v>2</v>
      </c>
      <c r="D10" t="s">
        <v>9</v>
      </c>
      <c r="E10" t="s">
        <v>28</v>
      </c>
      <c r="F10" t="s">
        <v>23</v>
      </c>
      <c r="G10">
        <v>10.5</v>
      </c>
      <c r="H10" s="4">
        <v>0.6</v>
      </c>
      <c r="J10">
        <v>26</v>
      </c>
      <c r="K10">
        <v>17</v>
      </c>
      <c r="M10" s="1">
        <f t="shared" si="0"/>
        <v>34.615384615384613</v>
      </c>
    </row>
    <row r="11" spans="1:15" x14ac:dyDescent="0.25">
      <c r="A11" t="s">
        <v>68</v>
      </c>
      <c r="B11" s="5" t="s">
        <v>52</v>
      </c>
      <c r="C11" s="3" t="s">
        <v>3</v>
      </c>
      <c r="D11" t="s">
        <v>9</v>
      </c>
      <c r="E11" t="s">
        <v>28</v>
      </c>
      <c r="F11" t="s">
        <v>23</v>
      </c>
      <c r="G11">
        <v>10.5</v>
      </c>
      <c r="H11" s="4">
        <v>0.8</v>
      </c>
      <c r="J11">
        <v>26</v>
      </c>
      <c r="K11">
        <v>14</v>
      </c>
      <c r="M11" s="1">
        <f t="shared" si="0"/>
        <v>46.153846153846153</v>
      </c>
    </row>
    <row r="12" spans="1:15" x14ac:dyDescent="0.25">
      <c r="A12" t="s">
        <v>68</v>
      </c>
      <c r="B12" s="5" t="s">
        <v>52</v>
      </c>
      <c r="C12" s="3" t="s">
        <v>4</v>
      </c>
      <c r="D12" t="s">
        <v>9</v>
      </c>
      <c r="E12" t="s">
        <v>28</v>
      </c>
      <c r="F12" t="s">
        <v>23</v>
      </c>
      <c r="G12">
        <v>10.5</v>
      </c>
      <c r="H12" s="4">
        <v>1</v>
      </c>
      <c r="I12" s="3" t="s">
        <v>72</v>
      </c>
      <c r="J12">
        <v>26</v>
      </c>
      <c r="K12">
        <v>11</v>
      </c>
      <c r="M12" s="1">
        <f t="shared" si="0"/>
        <v>57.692307692307686</v>
      </c>
    </row>
    <row r="13" spans="1:15" x14ac:dyDescent="0.25">
      <c r="A13" t="s">
        <v>68</v>
      </c>
      <c r="B13" s="5" t="s">
        <v>52</v>
      </c>
      <c r="C13" s="3" t="s">
        <v>5</v>
      </c>
      <c r="D13" t="s">
        <v>9</v>
      </c>
      <c r="E13" t="s">
        <v>28</v>
      </c>
      <c r="F13" t="s">
        <v>23</v>
      </c>
      <c r="G13">
        <v>10.5</v>
      </c>
      <c r="H13" s="4">
        <v>1.2</v>
      </c>
      <c r="J13">
        <v>26</v>
      </c>
      <c r="K13">
        <v>12</v>
      </c>
      <c r="M13" s="1">
        <f t="shared" si="0"/>
        <v>53.846153846153847</v>
      </c>
    </row>
    <row r="14" spans="1:15" x14ac:dyDescent="0.25">
      <c r="A14" t="s">
        <v>68</v>
      </c>
      <c r="B14" s="5" t="s">
        <v>52</v>
      </c>
      <c r="C14" s="3" t="s">
        <v>6</v>
      </c>
      <c r="D14" t="s">
        <v>9</v>
      </c>
      <c r="E14" t="s">
        <v>28</v>
      </c>
      <c r="F14" t="s">
        <v>23</v>
      </c>
      <c r="G14">
        <v>10.5</v>
      </c>
      <c r="H14" s="4">
        <v>1.4</v>
      </c>
      <c r="J14">
        <v>26</v>
      </c>
      <c r="K14">
        <v>8</v>
      </c>
      <c r="M14" s="1">
        <f t="shared" si="0"/>
        <v>69.230769230769226</v>
      </c>
    </row>
    <row r="15" spans="1:15" x14ac:dyDescent="0.25">
      <c r="A15" t="s">
        <v>69</v>
      </c>
      <c r="B15" s="7" t="s">
        <v>53</v>
      </c>
      <c r="C15" s="3" t="s">
        <v>29</v>
      </c>
      <c r="E15" t="s">
        <v>33</v>
      </c>
      <c r="F15" t="s">
        <v>34</v>
      </c>
      <c r="G15">
        <v>10.3</v>
      </c>
      <c r="H15" s="4">
        <v>0.5</v>
      </c>
      <c r="J15" s="6">
        <f>267/2858*100</f>
        <v>9.3421973407977603</v>
      </c>
      <c r="K15" s="6">
        <f>166/2858*100</f>
        <v>5.808257522743177</v>
      </c>
      <c r="L15" t="s">
        <v>25</v>
      </c>
      <c r="M15" s="1">
        <f t="shared" si="0"/>
        <v>37.827715355805246</v>
      </c>
      <c r="N15" t="s">
        <v>0</v>
      </c>
      <c r="O15" t="s">
        <v>35</v>
      </c>
    </row>
    <row r="16" spans="1:15" x14ac:dyDescent="0.25">
      <c r="A16" t="s">
        <v>69</v>
      </c>
      <c r="B16" s="7" t="s">
        <v>53</v>
      </c>
      <c r="C16" s="3" t="s">
        <v>29</v>
      </c>
      <c r="E16" t="s">
        <v>33</v>
      </c>
      <c r="F16" t="s">
        <v>34</v>
      </c>
      <c r="G16">
        <v>10.3</v>
      </c>
      <c r="H16" s="4">
        <v>1</v>
      </c>
      <c r="I16" s="3" t="s">
        <v>72</v>
      </c>
      <c r="J16" s="6">
        <f>267/2858*100</f>
        <v>9.3421973407977603</v>
      </c>
      <c r="K16" s="6">
        <f>94/2858*100</f>
        <v>3.2890132960111966</v>
      </c>
      <c r="L16" t="s">
        <v>25</v>
      </c>
      <c r="M16" s="1">
        <f t="shared" si="0"/>
        <v>64.794007490636702</v>
      </c>
      <c r="N16" t="s">
        <v>0</v>
      </c>
      <c r="O16" t="s">
        <v>35</v>
      </c>
    </row>
    <row r="17" spans="1:15" x14ac:dyDescent="0.25">
      <c r="A17" t="s">
        <v>69</v>
      </c>
      <c r="B17" s="7" t="s">
        <v>53</v>
      </c>
      <c r="C17" s="3" t="s">
        <v>29</v>
      </c>
      <c r="E17" t="s">
        <v>33</v>
      </c>
      <c r="F17" t="s">
        <v>34</v>
      </c>
      <c r="G17">
        <v>10.3</v>
      </c>
      <c r="H17" s="4">
        <v>1.5</v>
      </c>
      <c r="J17" s="6">
        <f>267/2858*100</f>
        <v>9.3421973407977603</v>
      </c>
      <c r="K17" s="6">
        <f>55/2858*100</f>
        <v>1.9244226731980407</v>
      </c>
      <c r="L17" t="s">
        <v>25</v>
      </c>
      <c r="M17" s="1">
        <f t="shared" si="0"/>
        <v>79.400749063670403</v>
      </c>
      <c r="N17" t="s">
        <v>0</v>
      </c>
      <c r="O17" t="s">
        <v>35</v>
      </c>
    </row>
    <row r="18" spans="1:15" x14ac:dyDescent="0.25">
      <c r="A18" t="s">
        <v>69</v>
      </c>
      <c r="B18" s="7" t="s">
        <v>53</v>
      </c>
      <c r="C18" s="3" t="s">
        <v>30</v>
      </c>
      <c r="E18" t="s">
        <v>33</v>
      </c>
      <c r="F18" t="s">
        <v>34</v>
      </c>
      <c r="G18">
        <v>10.3</v>
      </c>
      <c r="H18" s="4">
        <v>0.5</v>
      </c>
      <c r="J18" s="6">
        <f>254/2858*100</f>
        <v>8.8873337998600412</v>
      </c>
      <c r="K18" s="6">
        <f>168/2858*100</f>
        <v>5.8782365290412875</v>
      </c>
      <c r="L18" t="s">
        <v>25</v>
      </c>
      <c r="M18" s="1">
        <f t="shared" si="0"/>
        <v>33.85826771653543</v>
      </c>
      <c r="N18" t="s">
        <v>0</v>
      </c>
      <c r="O18" t="s">
        <v>35</v>
      </c>
    </row>
    <row r="19" spans="1:15" x14ac:dyDescent="0.25">
      <c r="A19" t="s">
        <v>69</v>
      </c>
      <c r="B19" s="7" t="s">
        <v>53</v>
      </c>
      <c r="C19" s="3" t="s">
        <v>30</v>
      </c>
      <c r="E19" t="s">
        <v>33</v>
      </c>
      <c r="F19" t="s">
        <v>34</v>
      </c>
      <c r="G19">
        <v>10.3</v>
      </c>
      <c r="H19" s="4">
        <v>1</v>
      </c>
      <c r="I19" s="3" t="s">
        <v>72</v>
      </c>
      <c r="J19" s="6">
        <f>254/2858*100</f>
        <v>8.8873337998600412</v>
      </c>
      <c r="K19" s="6">
        <f>91/2858*100</f>
        <v>3.1840447865640309</v>
      </c>
      <c r="L19" t="s">
        <v>25</v>
      </c>
      <c r="M19" s="1">
        <f t="shared" si="0"/>
        <v>64.173228346456696</v>
      </c>
      <c r="N19" t="s">
        <v>0</v>
      </c>
      <c r="O19" t="s">
        <v>35</v>
      </c>
    </row>
    <row r="20" spans="1:15" x14ac:dyDescent="0.25">
      <c r="A20" t="s">
        <v>69</v>
      </c>
      <c r="B20" s="7" t="s">
        <v>53</v>
      </c>
      <c r="C20" s="3" t="s">
        <v>30</v>
      </c>
      <c r="E20" t="s">
        <v>33</v>
      </c>
      <c r="F20" t="s">
        <v>34</v>
      </c>
      <c r="G20">
        <v>10.3</v>
      </c>
      <c r="H20" s="4">
        <v>1.5</v>
      </c>
      <c r="J20" s="6">
        <f>254/2858*100</f>
        <v>8.8873337998600412</v>
      </c>
      <c r="K20" s="6">
        <f>58/2858*100</f>
        <v>2.0293911826452065</v>
      </c>
      <c r="L20" t="s">
        <v>25</v>
      </c>
      <c r="M20" s="1">
        <f t="shared" si="0"/>
        <v>77.165354330708652</v>
      </c>
      <c r="N20" t="s">
        <v>0</v>
      </c>
      <c r="O20" t="s">
        <v>35</v>
      </c>
    </row>
    <row r="21" spans="1:15" x14ac:dyDescent="0.25">
      <c r="A21" t="s">
        <v>69</v>
      </c>
      <c r="B21" s="7" t="s">
        <v>53</v>
      </c>
      <c r="C21" s="3" t="s">
        <v>31</v>
      </c>
      <c r="E21" t="s">
        <v>33</v>
      </c>
      <c r="F21" t="s">
        <v>34</v>
      </c>
      <c r="G21">
        <v>10.3</v>
      </c>
      <c r="H21" s="4">
        <v>0.5</v>
      </c>
      <c r="J21" s="6">
        <f>174/2858*100</f>
        <v>6.0881735479356189</v>
      </c>
      <c r="K21" s="6">
        <f>148/2858*100</f>
        <v>5.1784464660601817</v>
      </c>
      <c r="L21" t="s">
        <v>25</v>
      </c>
      <c r="M21" s="1">
        <f t="shared" si="0"/>
        <v>14.942528735632187</v>
      </c>
      <c r="N21" t="s">
        <v>0</v>
      </c>
      <c r="O21" t="s">
        <v>35</v>
      </c>
    </row>
    <row r="22" spans="1:15" x14ac:dyDescent="0.25">
      <c r="A22" t="s">
        <v>69</v>
      </c>
      <c r="B22" s="7" t="s">
        <v>53</v>
      </c>
      <c r="C22" s="3" t="s">
        <v>31</v>
      </c>
      <c r="E22" t="s">
        <v>33</v>
      </c>
      <c r="F22" t="s">
        <v>34</v>
      </c>
      <c r="G22">
        <v>10.3</v>
      </c>
      <c r="H22" s="4">
        <v>1</v>
      </c>
      <c r="I22" s="3" t="s">
        <v>72</v>
      </c>
      <c r="J22" s="6">
        <f>174/2858*100</f>
        <v>6.0881735479356189</v>
      </c>
      <c r="K22" s="6">
        <f>97/2858*100</f>
        <v>3.3939818054583624</v>
      </c>
      <c r="L22" t="s">
        <v>25</v>
      </c>
      <c r="M22" s="1">
        <f t="shared" si="0"/>
        <v>44.252873563218387</v>
      </c>
      <c r="N22" t="s">
        <v>0</v>
      </c>
      <c r="O22" t="s">
        <v>35</v>
      </c>
    </row>
    <row r="23" spans="1:15" x14ac:dyDescent="0.25">
      <c r="A23" t="s">
        <v>69</v>
      </c>
      <c r="B23" s="7" t="s">
        <v>53</v>
      </c>
      <c r="C23" s="3" t="s">
        <v>31</v>
      </c>
      <c r="E23" t="s">
        <v>33</v>
      </c>
      <c r="F23" t="s">
        <v>34</v>
      </c>
      <c r="G23">
        <v>10.3</v>
      </c>
      <c r="H23" s="4">
        <v>1.5</v>
      </c>
      <c r="J23" s="6">
        <f>174/2858*100</f>
        <v>6.0881735479356189</v>
      </c>
      <c r="K23" s="6">
        <f>66/2858*100</f>
        <v>2.3093072078376489</v>
      </c>
      <c r="L23" t="s">
        <v>25</v>
      </c>
      <c r="M23" s="1">
        <f t="shared" si="0"/>
        <v>62.068965517241367</v>
      </c>
      <c r="N23" t="s">
        <v>0</v>
      </c>
      <c r="O23" t="s">
        <v>35</v>
      </c>
    </row>
    <row r="24" spans="1:15" x14ac:dyDescent="0.25">
      <c r="A24" t="s">
        <v>69</v>
      </c>
      <c r="B24" s="7" t="s">
        <v>53</v>
      </c>
      <c r="C24" s="3" t="s">
        <v>32</v>
      </c>
      <c r="E24" t="s">
        <v>33</v>
      </c>
      <c r="F24" t="s">
        <v>34</v>
      </c>
      <c r="G24">
        <v>10.3</v>
      </c>
      <c r="H24" s="4">
        <v>0.5</v>
      </c>
      <c r="J24" s="6">
        <f>118/2858*100</f>
        <v>4.1287613715885234</v>
      </c>
      <c r="K24" s="6">
        <f>92/2858*100</f>
        <v>3.2190342897130861</v>
      </c>
      <c r="L24" t="s">
        <v>25</v>
      </c>
      <c r="M24" s="1">
        <f t="shared" si="0"/>
        <v>22.033898305084744</v>
      </c>
      <c r="N24" t="s">
        <v>0</v>
      </c>
      <c r="O24" t="s">
        <v>35</v>
      </c>
    </row>
    <row r="25" spans="1:15" x14ac:dyDescent="0.25">
      <c r="A25" t="s">
        <v>69</v>
      </c>
      <c r="B25" s="7" t="s">
        <v>53</v>
      </c>
      <c r="C25" s="3" t="s">
        <v>32</v>
      </c>
      <c r="E25" t="s">
        <v>33</v>
      </c>
      <c r="F25" t="s">
        <v>34</v>
      </c>
      <c r="G25">
        <v>10.3</v>
      </c>
      <c r="H25" s="4">
        <v>1</v>
      </c>
      <c r="I25" s="3" t="s">
        <v>72</v>
      </c>
      <c r="J25" s="6">
        <f>118/2858*100</f>
        <v>4.1287613715885234</v>
      </c>
      <c r="K25" s="6">
        <f>59/2858*100</f>
        <v>2.0643806857942617</v>
      </c>
      <c r="L25" t="s">
        <v>25</v>
      </c>
      <c r="M25" s="1">
        <f t="shared" si="0"/>
        <v>50</v>
      </c>
      <c r="N25" t="s">
        <v>0</v>
      </c>
      <c r="O25" t="s">
        <v>35</v>
      </c>
    </row>
    <row r="26" spans="1:15" x14ac:dyDescent="0.25">
      <c r="A26" t="s">
        <v>69</v>
      </c>
      <c r="B26" s="7" t="s">
        <v>53</v>
      </c>
      <c r="C26" s="3" t="s">
        <v>32</v>
      </c>
      <c r="E26" t="s">
        <v>33</v>
      </c>
      <c r="F26" t="s">
        <v>34</v>
      </c>
      <c r="G26">
        <v>10.3</v>
      </c>
      <c r="H26" s="4">
        <v>1.5</v>
      </c>
      <c r="J26" s="6">
        <f>118/2858*100</f>
        <v>4.1287613715885234</v>
      </c>
      <c r="K26" s="6">
        <f>48/2858*100</f>
        <v>1.6794961511546536</v>
      </c>
      <c r="L26" t="s">
        <v>25</v>
      </c>
      <c r="M26" s="1">
        <f t="shared" si="0"/>
        <v>59.322033898305079</v>
      </c>
      <c r="N26" t="s">
        <v>0</v>
      </c>
      <c r="O26" t="s">
        <v>35</v>
      </c>
    </row>
    <row r="27" spans="1:15" x14ac:dyDescent="0.25">
      <c r="A27" t="s">
        <v>36</v>
      </c>
      <c r="C27" s="3" t="s">
        <v>37</v>
      </c>
      <c r="E27" t="s">
        <v>33</v>
      </c>
      <c r="F27" t="s">
        <v>34</v>
      </c>
      <c r="G27">
        <v>8</v>
      </c>
      <c r="H27" s="4">
        <v>0.5</v>
      </c>
      <c r="J27">
        <v>37</v>
      </c>
      <c r="K27">
        <v>24</v>
      </c>
      <c r="L27" t="s">
        <v>25</v>
      </c>
      <c r="M27" s="1">
        <f t="shared" si="0"/>
        <v>35.13513513513513</v>
      </c>
      <c r="N27" s="1" t="s">
        <v>46</v>
      </c>
      <c r="O27" t="s">
        <v>47</v>
      </c>
    </row>
    <row r="28" spans="1:15" x14ac:dyDescent="0.25">
      <c r="A28" t="s">
        <v>36</v>
      </c>
      <c r="C28" s="3" t="s">
        <v>38</v>
      </c>
      <c r="E28" t="s">
        <v>33</v>
      </c>
      <c r="F28" t="s">
        <v>34</v>
      </c>
      <c r="G28">
        <v>8</v>
      </c>
      <c r="H28" s="4">
        <v>1</v>
      </c>
      <c r="I28" s="3" t="s">
        <v>72</v>
      </c>
      <c r="J28">
        <v>37</v>
      </c>
      <c r="K28">
        <v>23</v>
      </c>
      <c r="L28" t="s">
        <v>25</v>
      </c>
      <c r="M28" s="1">
        <f t="shared" si="0"/>
        <v>37.837837837837839</v>
      </c>
      <c r="N28" s="1" t="s">
        <v>46</v>
      </c>
      <c r="O28" t="s">
        <v>47</v>
      </c>
    </row>
    <row r="29" spans="1:15" x14ac:dyDescent="0.25">
      <c r="A29" t="s">
        <v>36</v>
      </c>
      <c r="C29" s="3" t="s">
        <v>39</v>
      </c>
      <c r="E29" t="s">
        <v>33</v>
      </c>
      <c r="F29" t="s">
        <v>34</v>
      </c>
      <c r="G29">
        <v>8</v>
      </c>
      <c r="H29" s="4">
        <v>2</v>
      </c>
      <c r="J29">
        <v>37</v>
      </c>
      <c r="K29">
        <v>15</v>
      </c>
      <c r="L29" t="s">
        <v>25</v>
      </c>
      <c r="M29" s="1">
        <f t="shared" si="0"/>
        <v>59.459459459459453</v>
      </c>
      <c r="N29" s="1" t="s">
        <v>46</v>
      </c>
      <c r="O29" t="s">
        <v>47</v>
      </c>
    </row>
    <row r="30" spans="1:15" x14ac:dyDescent="0.25">
      <c r="A30" t="s">
        <v>36</v>
      </c>
      <c r="C30" s="3" t="s">
        <v>40</v>
      </c>
      <c r="E30" t="s">
        <v>33</v>
      </c>
      <c r="F30" t="s">
        <v>34</v>
      </c>
      <c r="G30">
        <v>8</v>
      </c>
      <c r="H30" s="4">
        <v>0.5</v>
      </c>
      <c r="J30">
        <v>40</v>
      </c>
      <c r="K30">
        <v>28</v>
      </c>
      <c r="L30" t="s">
        <v>25</v>
      </c>
      <c r="M30" s="1">
        <f t="shared" si="0"/>
        <v>30.000000000000004</v>
      </c>
      <c r="N30" s="1" t="s">
        <v>46</v>
      </c>
      <c r="O30" t="s">
        <v>47</v>
      </c>
    </row>
    <row r="31" spans="1:15" x14ac:dyDescent="0.25">
      <c r="A31" t="s">
        <v>36</v>
      </c>
      <c r="C31" s="3" t="s">
        <v>41</v>
      </c>
      <c r="E31" t="s">
        <v>33</v>
      </c>
      <c r="F31" t="s">
        <v>34</v>
      </c>
      <c r="G31">
        <v>8</v>
      </c>
      <c r="H31" s="4">
        <v>1</v>
      </c>
      <c r="I31" s="3" t="s">
        <v>72</v>
      </c>
      <c r="J31">
        <v>40</v>
      </c>
      <c r="K31">
        <v>26</v>
      </c>
      <c r="L31" t="s">
        <v>25</v>
      </c>
      <c r="M31" s="1">
        <f t="shared" si="0"/>
        <v>35</v>
      </c>
      <c r="N31" s="1" t="s">
        <v>46</v>
      </c>
      <c r="O31" t="s">
        <v>47</v>
      </c>
    </row>
    <row r="32" spans="1:15" x14ac:dyDescent="0.25">
      <c r="A32" t="s">
        <v>36</v>
      </c>
      <c r="C32" s="3" t="s">
        <v>42</v>
      </c>
      <c r="E32" t="s">
        <v>33</v>
      </c>
      <c r="F32" t="s">
        <v>34</v>
      </c>
      <c r="G32">
        <v>8</v>
      </c>
      <c r="H32" s="4">
        <v>2</v>
      </c>
      <c r="J32">
        <v>40</v>
      </c>
      <c r="K32">
        <v>18</v>
      </c>
      <c r="L32" t="s">
        <v>25</v>
      </c>
      <c r="M32" s="1">
        <f t="shared" si="0"/>
        <v>55.000000000000007</v>
      </c>
      <c r="N32" s="1" t="s">
        <v>46</v>
      </c>
      <c r="O32" t="s">
        <v>47</v>
      </c>
    </row>
    <row r="33" spans="1:15" x14ac:dyDescent="0.25">
      <c r="A33" t="s">
        <v>36</v>
      </c>
      <c r="C33" t="s">
        <v>43</v>
      </c>
      <c r="E33" t="s">
        <v>33</v>
      </c>
      <c r="F33" t="s">
        <v>34</v>
      </c>
      <c r="G33">
        <v>8</v>
      </c>
      <c r="H33" s="4">
        <v>0.5</v>
      </c>
      <c r="J33">
        <v>46</v>
      </c>
      <c r="K33">
        <v>33</v>
      </c>
      <c r="L33" t="s">
        <v>25</v>
      </c>
      <c r="M33" s="1">
        <f t="shared" si="0"/>
        <v>28.260869565217394</v>
      </c>
      <c r="N33" s="1" t="s">
        <v>46</v>
      </c>
      <c r="O33" t="s">
        <v>47</v>
      </c>
    </row>
    <row r="34" spans="1:15" x14ac:dyDescent="0.25">
      <c r="A34" t="s">
        <v>36</v>
      </c>
      <c r="C34" t="s">
        <v>44</v>
      </c>
      <c r="E34" t="s">
        <v>33</v>
      </c>
      <c r="F34" t="s">
        <v>34</v>
      </c>
      <c r="G34">
        <v>8</v>
      </c>
      <c r="H34" s="4">
        <v>1</v>
      </c>
      <c r="I34" s="3" t="s">
        <v>72</v>
      </c>
      <c r="J34">
        <v>46</v>
      </c>
      <c r="K34">
        <v>31</v>
      </c>
      <c r="L34" t="s">
        <v>25</v>
      </c>
      <c r="M34" s="1">
        <f t="shared" si="0"/>
        <v>32.608695652173914</v>
      </c>
      <c r="N34" s="1" t="s">
        <v>46</v>
      </c>
      <c r="O34" t="s">
        <v>47</v>
      </c>
    </row>
    <row r="35" spans="1:15" x14ac:dyDescent="0.25">
      <c r="A35" t="s">
        <v>36</v>
      </c>
      <c r="C35" t="s">
        <v>45</v>
      </c>
      <c r="E35" t="s">
        <v>33</v>
      </c>
      <c r="F35" t="s">
        <v>34</v>
      </c>
      <c r="G35">
        <v>8</v>
      </c>
      <c r="H35" s="4">
        <v>2</v>
      </c>
      <c r="J35">
        <v>46</v>
      </c>
      <c r="K35">
        <v>25</v>
      </c>
      <c r="L35" t="s">
        <v>25</v>
      </c>
      <c r="M35" s="1">
        <f t="shared" si="0"/>
        <v>45.652173913043484</v>
      </c>
      <c r="N35" s="1" t="s">
        <v>46</v>
      </c>
      <c r="O35" t="s">
        <v>47</v>
      </c>
    </row>
    <row r="36" spans="1:15" x14ac:dyDescent="0.25">
      <c r="A36" t="s">
        <v>70</v>
      </c>
      <c r="C36" t="s">
        <v>48</v>
      </c>
      <c r="E36" t="s">
        <v>33</v>
      </c>
      <c r="F36" t="s">
        <v>34</v>
      </c>
      <c r="G36">
        <v>7.4</v>
      </c>
      <c r="H36" s="4">
        <v>1</v>
      </c>
      <c r="I36" s="3" t="s">
        <v>72</v>
      </c>
      <c r="J36">
        <v>17</v>
      </c>
      <c r="K36">
        <v>7</v>
      </c>
      <c r="L36" t="s">
        <v>25</v>
      </c>
      <c r="M36" s="1">
        <f t="shared" si="0"/>
        <v>58.82352941176471</v>
      </c>
      <c r="N36" s="1" t="s">
        <v>46</v>
      </c>
    </row>
    <row r="37" spans="1:15" x14ac:dyDescent="0.25">
      <c r="A37" t="s">
        <v>70</v>
      </c>
      <c r="C37" t="s">
        <v>49</v>
      </c>
      <c r="E37" t="s">
        <v>33</v>
      </c>
      <c r="F37" t="s">
        <v>34</v>
      </c>
      <c r="G37">
        <v>7.4</v>
      </c>
      <c r="H37" s="4">
        <v>1</v>
      </c>
      <c r="I37" s="3" t="s">
        <v>72</v>
      </c>
      <c r="J37">
        <v>3</v>
      </c>
      <c r="K37">
        <v>1</v>
      </c>
      <c r="L37" t="s">
        <v>25</v>
      </c>
      <c r="M37" s="1">
        <f t="shared" si="0"/>
        <v>66.666666666666671</v>
      </c>
      <c r="N37" s="1" t="s">
        <v>46</v>
      </c>
    </row>
    <row r="38" spans="1:15" x14ac:dyDescent="0.25">
      <c r="A38" t="s">
        <v>70</v>
      </c>
      <c r="C38" t="s">
        <v>50</v>
      </c>
      <c r="E38" t="s">
        <v>33</v>
      </c>
      <c r="F38" t="s">
        <v>34</v>
      </c>
      <c r="G38">
        <v>7.4</v>
      </c>
      <c r="H38" s="4">
        <v>1</v>
      </c>
      <c r="I38" s="3" t="s">
        <v>72</v>
      </c>
      <c r="J38">
        <v>10</v>
      </c>
      <c r="K38">
        <v>5</v>
      </c>
      <c r="L38" t="s">
        <v>25</v>
      </c>
      <c r="M38" s="1">
        <f t="shared" si="0"/>
        <v>50</v>
      </c>
      <c r="N38" s="1" t="s">
        <v>46</v>
      </c>
    </row>
    <row r="39" spans="1:15" x14ac:dyDescent="0.25">
      <c r="A39" t="s">
        <v>70</v>
      </c>
      <c r="C39" t="s">
        <v>51</v>
      </c>
      <c r="E39" t="s">
        <v>33</v>
      </c>
      <c r="F39" t="s">
        <v>34</v>
      </c>
      <c r="G39">
        <v>7.4</v>
      </c>
      <c r="H39" s="4">
        <v>1</v>
      </c>
      <c r="I39" s="3" t="s">
        <v>72</v>
      </c>
      <c r="J39">
        <v>22</v>
      </c>
      <c r="K39">
        <v>8</v>
      </c>
      <c r="L39" t="s">
        <v>25</v>
      </c>
      <c r="M39" s="1">
        <f t="shared" si="0"/>
        <v>63.636363636363633</v>
      </c>
      <c r="N39" s="1" t="s">
        <v>46</v>
      </c>
    </row>
    <row r="1048552" spans="3:3" x14ac:dyDescent="0.25">
      <c r="C1048552" s="3"/>
    </row>
  </sheetData>
  <phoneticPr fontId="1" type="noConversion"/>
  <hyperlinks>
    <hyperlink ref="B8" r:id="rId1" display="https://doi.org/10.1017/S0021859600012223" xr:uid="{4EB54BB1-6C78-448F-87FE-C5E5E4C98843}"/>
    <hyperlink ref="B9" r:id="rId2" display="https://doi.org/10.1017/S0021859600012223" xr:uid="{A517D83A-2837-4B29-AD97-517CA887B163}"/>
    <hyperlink ref="B10" r:id="rId3" display="https://doi.org/10.1017/S0021859600012223" xr:uid="{5B93E107-8F9F-44AE-8897-ACBE27958F4C}"/>
    <hyperlink ref="B11" r:id="rId4" display="https://doi.org/10.1017/S0021859600012223" xr:uid="{28BF1ADC-7F97-4709-9A1F-A30A590CCAD5}"/>
    <hyperlink ref="B12" r:id="rId5" display="https://doi.org/10.1017/S0021859600012223" xr:uid="{C39B1B58-5F08-4D65-BFEB-369BD021257D}"/>
    <hyperlink ref="B13" r:id="rId6" display="https://doi.org/10.1017/S0021859600012223" xr:uid="{9176CA25-78C6-4E51-AAD1-B50632848262}"/>
    <hyperlink ref="B14" r:id="rId7" display="https://doi.org/10.1017/S0021859600012223" xr:uid="{FF0A25FF-B115-4BE8-B011-A193EF312C88}"/>
    <hyperlink ref="B15" r:id="rId8" display="http://dx.doi.org/10.1111/j.1365-2494.1994.tb02015.x" xr:uid="{722735A4-9BDE-4079-961D-9A7B8A1234DD}"/>
    <hyperlink ref="B16" r:id="rId9" display="http://dx.doi.org/10.1111/j.1365-2494.1994.tb02015.x" xr:uid="{A0042689-37E1-4B0B-9C58-063B2870110A}"/>
    <hyperlink ref="B17" r:id="rId10" display="http://dx.doi.org/10.1111/j.1365-2494.1994.tb02015.x" xr:uid="{03996749-FD48-4D85-BC16-CCAE83B2F49A}"/>
    <hyperlink ref="B18" r:id="rId11" display="http://dx.doi.org/10.1111/j.1365-2494.1994.tb02015.x" xr:uid="{30BDC03C-D630-40FA-892D-20EC246D87A3}"/>
    <hyperlink ref="B19" r:id="rId12" display="http://dx.doi.org/10.1111/j.1365-2494.1994.tb02015.x" xr:uid="{71450207-BD34-43F2-B235-1966B3F8B6D8}"/>
    <hyperlink ref="B20" r:id="rId13" display="http://dx.doi.org/10.1111/j.1365-2494.1994.tb02015.x" xr:uid="{B3CA633F-1F1B-427F-AC89-25C716148C25}"/>
    <hyperlink ref="B21" r:id="rId14" display="http://dx.doi.org/10.1111/j.1365-2494.1994.tb02015.x" xr:uid="{1E1D09DA-DCE5-457F-B50F-96167579DBBE}"/>
    <hyperlink ref="B22" r:id="rId15" display="http://dx.doi.org/10.1111/j.1365-2494.1994.tb02015.x" xr:uid="{27EC8D28-BF8A-4D87-A3F3-736EC7262F1C}"/>
    <hyperlink ref="B23" r:id="rId16" display="http://dx.doi.org/10.1111/j.1365-2494.1994.tb02015.x" xr:uid="{33339235-7E4B-49CA-B851-A0ACBD6D1616}"/>
    <hyperlink ref="B24" r:id="rId17" display="http://dx.doi.org/10.1111/j.1365-2494.1994.tb02015.x" xr:uid="{356A8582-DE9D-47CA-BCFE-122D267B57B7}"/>
    <hyperlink ref="B25" r:id="rId18" display="http://dx.doi.org/10.1111/j.1365-2494.1994.tb02015.x" xr:uid="{FF304766-D658-4926-A1F0-E41129C51785}"/>
    <hyperlink ref="B26" r:id="rId19" display="http://dx.doi.org/10.1111/j.1365-2494.1994.tb02015.x" xr:uid="{AC08F3A7-5209-476E-A949-CF7D945FAC65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Pedersen</dc:creator>
  <cp:lastModifiedBy>Johanna Pedersen</cp:lastModifiedBy>
  <dcterms:created xsi:type="dcterms:W3CDTF">2024-06-11T11:37:07Z</dcterms:created>
  <dcterms:modified xsi:type="dcterms:W3CDTF">2025-06-27T11:42:35Z</dcterms:modified>
</cp:coreProperties>
</file>