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emission data" sheetId="1" state="visible" r:id="rId3"/>
    <sheet name="separation efficiency 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<sst xmlns="http://schemas.openxmlformats.org/spreadsheetml/2006/main" count="3915" uniqueCount="321">
  <si>
    <t xml:space="preserve">General information</t>
  </si>
  <si>
    <t xml:space="preserve">Application</t>
  </si>
  <si>
    <t xml:space="preserve">Slurry information</t>
  </si>
  <si>
    <t xml:space="preserve">Soil information</t>
  </si>
  <si>
    <t xml:space="preserve">Emission</t>
  </si>
  <si>
    <t xml:space="preserve">Application notes</t>
  </si>
  <si>
    <t xml:space="preserve">Source</t>
  </si>
  <si>
    <t xml:space="preserve">Separation method</t>
  </si>
  <si>
    <t xml:space="preserve">Separation scale</t>
  </si>
  <si>
    <t xml:space="preserve">Slurry source</t>
  </si>
  <si>
    <t xml:space="preserve">Fraction</t>
  </si>
  <si>
    <t xml:space="preserve">FractionA</t>
  </si>
  <si>
    <t xml:space="preserve">Emission measuring method</t>
  </si>
  <si>
    <t xml:space="preserve">Duration (h)</t>
  </si>
  <si>
    <t xml:space="preserve">Set</t>
  </si>
  <si>
    <t xml:space="preserve">Application method</t>
  </si>
  <si>
    <t xml:space="preserve">Amount (ton/ha)</t>
  </si>
  <si>
    <t xml:space="preserve">Temperature at application (°C)</t>
  </si>
  <si>
    <t xml:space="preserve">Average temperature (°C)</t>
  </si>
  <si>
    <t xml:space="preserve">Precipitation during measurements (mm)</t>
  </si>
  <si>
    <t xml:space="preserve">Dry matter (%)</t>
  </si>
  <si>
    <t xml:space="preserve">pH</t>
  </si>
  <si>
    <t xml:space="preserve">Total ammoniacal nitrogen (TAN) (g/kg)</t>
  </si>
  <si>
    <t xml:space="preserve">Type</t>
  </si>
  <si>
    <t xml:space="preserve">Clay content (%)</t>
  </si>
  <si>
    <t xml:space="preserve">Crop</t>
  </si>
  <si>
    <t xml:space="preserve">Dry bulk density (g/cm3)</t>
  </si>
  <si>
    <t xml:space="preserve">Gravimetric water content (g/g)</t>
  </si>
  <si>
    <t xml:space="preserve">Emission (% applied total ammoniacal nitrogen)</t>
  </si>
  <si>
    <t xml:space="preserve">Emission (% initial raw total ammoniacal nitrogen)</t>
  </si>
  <si>
    <t xml:space="preserve">Source of emission data in original publication</t>
  </si>
  <si>
    <t xml:space="preserve">Experiment ID in original publication</t>
  </si>
  <si>
    <t xml:space="preserve">Notes</t>
  </si>
  <si>
    <t xml:space="preserve">source</t>
  </si>
  <si>
    <t xml:space="preserve">sep.meth</t>
  </si>
  <si>
    <t xml:space="preserve">sep.scale</t>
  </si>
  <si>
    <t xml:space="preserve">slurry.source</t>
  </si>
  <si>
    <t xml:space="preserve">frac.stud</t>
  </si>
  <si>
    <t xml:space="preserve">frac.studA</t>
  </si>
  <si>
    <t xml:space="preserve">meas.meth</t>
  </si>
  <si>
    <t xml:space="preserve">duration</t>
  </si>
  <si>
    <t xml:space="preserve">set</t>
  </si>
  <si>
    <t xml:space="preserve">app.meth</t>
  </si>
  <si>
    <t xml:space="preserve">amount</t>
  </si>
  <si>
    <t xml:space="preserve">temp.app</t>
  </si>
  <si>
    <t xml:space="preserve">temp.avg</t>
  </si>
  <si>
    <t xml:space="preserve">pres</t>
  </si>
  <si>
    <t xml:space="preserve">DM</t>
  </si>
  <si>
    <t xml:space="preserve">TAN</t>
  </si>
  <si>
    <t xml:space="preserve">soil.type</t>
  </si>
  <si>
    <t xml:space="preserve">soil.clay</t>
  </si>
  <si>
    <t xml:space="preserve">crop</t>
  </si>
  <si>
    <t xml:space="preserve">soil.dens</t>
  </si>
  <si>
    <t xml:space="preserve">soil.water</t>
  </si>
  <si>
    <t xml:space="preserve">emis.perc</t>
  </si>
  <si>
    <t xml:space="preserve">emis.ini</t>
  </si>
  <si>
    <t xml:space="preserve">emis.source</t>
  </si>
  <si>
    <t xml:space="preserve">emis.ID</t>
  </si>
  <si>
    <t xml:space="preserve">notes</t>
  </si>
  <si>
    <t xml:space="preserve">Amon et al. (2006)</t>
  </si>
  <si>
    <t xml:space="preserve">full</t>
  </si>
  <si>
    <t xml:space="preserve">cattle</t>
  </si>
  <si>
    <t xml:space="preserve">raw</t>
  </si>
  <si>
    <t xml:space="preserve">dynamic chambers</t>
  </si>
  <si>
    <t xml:space="preserve">trailing hose</t>
  </si>
  <si>
    <t xml:space="preserve">grass</t>
  </si>
  <si>
    <t xml:space="preserve">Calculation based on Table 2 and 3.</t>
  </si>
  <si>
    <r>
      <rPr>
        <i val="true"/>
        <sz val="11"/>
        <color theme="1"/>
        <rFont val="Calibri"/>
        <family val="2"/>
        <charset val="1"/>
      </rPr>
      <t xml:space="preserve">Untreated</t>
    </r>
    <r>
      <rPr>
        <sz val="11"/>
        <color theme="1"/>
        <rFont val="Calibri"/>
        <family val="2"/>
        <charset val="1"/>
      </rPr>
      <t xml:space="preserve"> and </t>
    </r>
    <r>
      <rPr>
        <i val="true"/>
        <sz val="11"/>
        <color theme="1"/>
        <rFont val="Calibri"/>
        <family val="2"/>
        <charset val="1"/>
      </rPr>
      <t xml:space="preserve">Separated</t>
    </r>
  </si>
  <si>
    <t xml:space="preserve">Only measurements for 48 h</t>
  </si>
  <si>
    <t xml:space="preserve">screw press </t>
  </si>
  <si>
    <t xml:space="preserve">lf</t>
  </si>
  <si>
    <t xml:space="preserve">sf</t>
  </si>
  <si>
    <t xml:space="preserve">Andersson et al. (2023)</t>
  </si>
  <si>
    <t xml:space="preserve">silty clay</t>
  </si>
  <si>
    <t xml:space="preserve">Manuscript draft from K. Andersson 16 Sep 2021 to jp@bce.au.dk.</t>
  </si>
  <si>
    <r>
      <rPr>
        <i val="true"/>
        <sz val="11"/>
        <color theme="1"/>
        <rFont val="Calibri"/>
        <family val="2"/>
        <charset val="1"/>
      </rPr>
      <t xml:space="preserve">Experiment 4</t>
    </r>
    <r>
      <rPr>
        <sz val="11"/>
        <color theme="1"/>
        <rFont val="Calibri"/>
        <family val="2"/>
        <charset val="1"/>
      </rPr>
      <t xml:space="preserve">: </t>
    </r>
    <r>
      <rPr>
        <i val="true"/>
        <sz val="11"/>
        <color theme="1"/>
        <rFont val="Calibri"/>
        <family val="2"/>
        <charset val="1"/>
      </rPr>
      <t xml:space="preserve">Separated</t>
    </r>
    <r>
      <rPr>
        <sz val="11"/>
        <color theme="1"/>
        <rFont val="Calibri"/>
        <family val="2"/>
        <charset val="1"/>
      </rPr>
      <t xml:space="preserve"> and </t>
    </r>
    <r>
      <rPr>
        <i val="true"/>
        <sz val="11"/>
        <color theme="1"/>
        <rFont val="Calibri"/>
        <family val="2"/>
        <charset val="1"/>
      </rPr>
      <t xml:space="preserve">Untreated</t>
    </r>
  </si>
  <si>
    <t xml:space="preserve">Balsari et al. (2008a)</t>
  </si>
  <si>
    <t xml:space="preserve">pig</t>
  </si>
  <si>
    <t xml:space="preserve">broadcast</t>
  </si>
  <si>
    <t xml:space="preserve">loamy sand</t>
  </si>
  <si>
    <t xml:space="preserve">Read of Fig. 2</t>
  </si>
  <si>
    <r>
      <rPr>
        <i val="true"/>
        <sz val="11"/>
        <color theme="1"/>
        <rFont val="Calibri"/>
        <family val="2"/>
        <charset val="1"/>
      </rPr>
      <t xml:space="preserve">All three fractions</t>
    </r>
    <r>
      <rPr>
        <sz val="11"/>
        <color theme="1"/>
        <rFont val="Calibri"/>
        <family val="2"/>
        <charset val="1"/>
      </rPr>
      <t xml:space="preserve">, Schmidt tunnels with airflow of 0.6 m/s</t>
    </r>
  </si>
  <si>
    <t xml:space="preserve">Amounts (ton/ha) are calculated based on applicatoin rate of 70 kgN/ha and info in Table 1. Unsure if it should be TAN. Emission is calulated from read of Fig 2. and the TAN/TKN ratio in Table 1. Did not include data with air speed of ~0 m/s as it has been shown that static chambers are not usefull for NH3 measurements. Unknown application method, assumed broadcast. </t>
  </si>
  <si>
    <t xml:space="preserve">Balsari et al. (2008b)</t>
  </si>
  <si>
    <t xml:space="preserve">Table 3</t>
  </si>
  <si>
    <t xml:space="preserve">Amounts (ton/ha) are calculated based on applicatoin rate of 70 kgN/ha and info in Table 2. Unsure if it should be TAN. Emission is calulated from data in Table 3. and the TAN/TKN ratio in Table 2. Did not include data with air speed of ~0 m/s as it has been shown that static chambers are not usefull for NH3 measurements. Unknown application method, assumed broadcast. </t>
  </si>
  <si>
    <t xml:space="preserve">Bhandral et al. (2009)</t>
  </si>
  <si>
    <t xml:space="preserve">silty to sandy loam</t>
  </si>
  <si>
    <t xml:space="preserve">none</t>
  </si>
  <si>
    <t xml:space="preserve">All experiments</t>
  </si>
  <si>
    <t xml:space="preserve"> Duration is minimum 11 days = 264 h, the longest exp was 15 d.</t>
  </si>
  <si>
    <t xml:space="preserve">decanter</t>
  </si>
  <si>
    <t xml:space="preserve">band spread on slots</t>
  </si>
  <si>
    <t xml:space="preserve">Chantigny et al. (2007)</t>
  </si>
  <si>
    <t xml:space="preserve">pilot</t>
  </si>
  <si>
    <t xml:space="preserve">loam and sandy loam </t>
  </si>
  <si>
    <t xml:space="preserve">Calculated from Table 1 and 2 and calculated application rate.</t>
  </si>
  <si>
    <r>
      <rPr>
        <i val="true"/>
        <sz val="11"/>
        <color theme="1"/>
        <rFont val="Calibri"/>
        <family val="2"/>
        <charset val="1"/>
      </rPr>
      <t xml:space="preserve">Raw</t>
    </r>
    <r>
      <rPr>
        <sz val="11"/>
        <color theme="1"/>
        <rFont val="Calibri"/>
        <family val="2"/>
        <charset val="1"/>
      </rPr>
      <t xml:space="preserve">, </t>
    </r>
    <r>
      <rPr>
        <i val="true"/>
        <sz val="11"/>
        <color theme="1"/>
        <rFont val="Calibri"/>
        <family val="2"/>
        <charset val="1"/>
      </rPr>
      <t xml:space="preserve">Decanted,</t>
    </r>
    <r>
      <rPr>
        <sz val="11"/>
        <color theme="1"/>
        <rFont val="Calibri"/>
        <family val="2"/>
        <charset val="1"/>
      </rPr>
      <t xml:space="preserve"> and </t>
    </r>
    <r>
      <rPr>
        <i val="true"/>
        <sz val="11"/>
        <color theme="1"/>
        <rFont val="Calibri"/>
        <family val="2"/>
        <charset val="1"/>
      </rPr>
      <t xml:space="preserve">Filtered</t>
    </r>
    <r>
      <rPr>
        <sz val="11"/>
        <color theme="1"/>
        <rFont val="Calibri"/>
        <family val="2"/>
        <charset val="1"/>
      </rPr>
      <t xml:space="preserve">.</t>
    </r>
  </si>
  <si>
    <t xml:space="preserve">Did not include 'flocculated' as it has anoter origin than the others. Application rate calculated from Table 1 and Total N content in Table 2. </t>
  </si>
  <si>
    <t xml:space="preserve">filter</t>
  </si>
  <si>
    <t xml:space="preserve">Chantigny et al. (2009)</t>
  </si>
  <si>
    <t xml:space="preserve">Table 4</t>
  </si>
  <si>
    <r>
      <rPr>
        <i val="true"/>
        <sz val="11"/>
        <color theme="1"/>
        <rFont val="Calibri"/>
        <family val="2"/>
        <charset val="1"/>
      </rPr>
      <t xml:space="preserve">Untreated</t>
    </r>
    <r>
      <rPr>
        <sz val="11"/>
        <color theme="1"/>
        <rFont val="Calibri"/>
        <family val="2"/>
        <charset val="1"/>
      </rPr>
      <t xml:space="preserve">, </t>
    </r>
    <r>
      <rPr>
        <i val="true"/>
        <sz val="11"/>
        <color theme="1"/>
        <rFont val="Calibri"/>
        <family val="2"/>
        <charset val="1"/>
      </rPr>
      <t xml:space="preserve">Decanted</t>
    </r>
    <r>
      <rPr>
        <sz val="11"/>
        <color theme="1"/>
        <rFont val="Calibri"/>
        <family val="2"/>
        <charset val="1"/>
      </rPr>
      <t xml:space="preserve">, </t>
    </r>
    <r>
      <rPr>
        <i val="true"/>
        <sz val="11"/>
        <color theme="1"/>
        <rFont val="Calibri"/>
        <family val="2"/>
        <charset val="1"/>
      </rPr>
      <t xml:space="preserve">Filtered</t>
    </r>
    <r>
      <rPr>
        <sz val="11"/>
        <color theme="1"/>
        <rFont val="Calibri"/>
        <family val="2"/>
        <charset val="1"/>
      </rPr>
      <t xml:space="preserve">, and </t>
    </r>
    <r>
      <rPr>
        <i val="true"/>
        <sz val="11"/>
        <color theme="1"/>
        <rFont val="Calibri"/>
        <family val="2"/>
        <charset val="1"/>
      </rPr>
      <t xml:space="preserve">Flocculated</t>
    </r>
  </si>
  <si>
    <t xml:space="preserve">unknown</t>
  </si>
  <si>
    <t xml:space="preserve">flocculant</t>
  </si>
  <si>
    <t xml:space="preserve">Dinuccio et al. (2011)</t>
  </si>
  <si>
    <t xml:space="preserve">laboratory</t>
  </si>
  <si>
    <t xml:space="preserve">Table 2</t>
  </si>
  <si>
    <r>
      <rPr>
        <i val="true"/>
        <sz val="11"/>
        <color theme="1"/>
        <rFont val="Calibri"/>
        <family val="2"/>
        <charset val="1"/>
      </rPr>
      <t xml:space="preserve">Raw slurry</t>
    </r>
    <r>
      <rPr>
        <sz val="11"/>
        <color theme="1"/>
        <rFont val="Calibri"/>
        <family val="2"/>
        <charset val="1"/>
      </rPr>
      <t xml:space="preserve"> and </t>
    </r>
    <r>
      <rPr>
        <i val="true"/>
        <sz val="11"/>
        <color theme="1"/>
        <rFont val="Calibri"/>
        <family val="2"/>
        <charset val="1"/>
      </rPr>
      <t xml:space="preserve">Liquid fraction</t>
    </r>
  </si>
  <si>
    <t xml:space="preserve">mehcanical</t>
  </si>
  <si>
    <t xml:space="preserve">mechanical</t>
  </si>
  <si>
    <r>
      <rPr>
        <i val="true"/>
        <sz val="11"/>
        <color rgb="FF000000"/>
        <rFont val="Calibri"/>
        <family val="2"/>
        <charset val="1"/>
      </rPr>
      <t xml:space="preserve">Raw slurry</t>
    </r>
    <r>
      <rPr>
        <sz val="11"/>
        <color rgb="FF000000"/>
        <rFont val="Calibri"/>
        <family val="2"/>
        <charset val="1"/>
      </rPr>
      <t xml:space="preserve"> and </t>
    </r>
    <r>
      <rPr>
        <i val="true"/>
        <sz val="11"/>
        <color rgb="FF000000"/>
        <rFont val="Calibri"/>
        <family val="2"/>
        <charset val="1"/>
      </rPr>
      <t xml:space="preserve">Liquid fraction</t>
    </r>
  </si>
  <si>
    <t xml:space="preserve">Dinuccio et al. (2012)</t>
  </si>
  <si>
    <t xml:space="preserve">Table 2 and Figure 6</t>
  </si>
  <si>
    <t xml:space="preserve">Amounts (ton/ha) calculated from Table 1 tot N and application rate og 70 kgN/ha. </t>
  </si>
  <si>
    <t xml:space="preserve">chemo-mechanical</t>
  </si>
  <si>
    <t xml:space="preserve">Fangueiro et al. (2015)</t>
  </si>
  <si>
    <t xml:space="preserve">laboratory aerobic incubation and acid traps</t>
  </si>
  <si>
    <t xml:space="preserve">Haplic Cambisol (sandy texture, 9% clay), sieved</t>
  </si>
  <si>
    <r>
      <rPr>
        <i val="true"/>
        <sz val="11"/>
        <color rgb="FF000000"/>
        <rFont val="Calibri"/>
        <family val="2"/>
        <charset val="1"/>
      </rPr>
      <t xml:space="preserve">S-S</t>
    </r>
    <r>
      <rPr>
        <sz val="11"/>
        <color rgb="FF000000"/>
        <rFont val="Calibri"/>
        <family val="2"/>
        <charset val="1"/>
      </rPr>
      <t xml:space="preserve"> and </t>
    </r>
    <r>
      <rPr>
        <i val="true"/>
        <sz val="11"/>
        <color rgb="FF000000"/>
        <rFont val="Calibri"/>
        <family val="2"/>
        <charset val="1"/>
      </rPr>
      <t xml:space="preserve">LF-S</t>
    </r>
  </si>
  <si>
    <t xml:space="preserve">centrifuge</t>
  </si>
  <si>
    <t xml:space="preserve">Haplic Cambisol </t>
  </si>
  <si>
    <r>
      <rPr>
        <i val="true"/>
        <sz val="11"/>
        <color theme="1"/>
        <rFont val="Calibri"/>
        <family val="2"/>
        <charset val="1"/>
      </rPr>
      <t xml:space="preserve">S-S</t>
    </r>
    <r>
      <rPr>
        <sz val="11"/>
        <color theme="1"/>
        <rFont val="Calibri"/>
        <family val="2"/>
        <charset val="1"/>
      </rPr>
      <t xml:space="preserve"> and </t>
    </r>
    <r>
      <rPr>
        <i val="true"/>
        <sz val="11"/>
        <color theme="1"/>
        <rFont val="Calibri"/>
        <family val="2"/>
        <charset val="1"/>
      </rPr>
      <t xml:space="preserve">LF-S</t>
    </r>
  </si>
  <si>
    <t xml:space="preserve">Fangueiro et al. (2017)</t>
  </si>
  <si>
    <t xml:space="preserve">broadcast and incorporated</t>
  </si>
  <si>
    <t xml:space="preserve">Cambic Arenosol </t>
  </si>
  <si>
    <r>
      <rPr>
        <i val="true"/>
        <sz val="11"/>
        <color theme="1"/>
        <rFont val="Calibri"/>
        <family val="2"/>
        <charset val="1"/>
      </rPr>
      <t xml:space="preserve">S-tillage</t>
    </r>
    <r>
      <rPr>
        <sz val="11"/>
        <color theme="1"/>
        <rFont val="Calibri"/>
        <family val="2"/>
        <charset val="1"/>
      </rPr>
      <t xml:space="preserve">  and </t>
    </r>
    <r>
      <rPr>
        <i val="true"/>
        <sz val="11"/>
        <color theme="1"/>
        <rFont val="Calibri"/>
        <family val="2"/>
        <charset val="1"/>
      </rPr>
      <t xml:space="preserve">LF-tillage</t>
    </r>
  </si>
  <si>
    <t xml:space="preserve">Frost et al. (1990)</t>
  </si>
  <si>
    <t xml:space="preserve">ventilated chambers</t>
  </si>
  <si>
    <t xml:space="preserve">clay loam</t>
  </si>
  <si>
    <t xml:space="preserve">Calculation based on Table 2, Table 1 and the application rate</t>
  </si>
  <si>
    <r>
      <rPr>
        <sz val="11"/>
        <color theme="1"/>
        <rFont val="Calibri"/>
        <family val="2"/>
        <charset val="1"/>
      </rPr>
      <t xml:space="preserve">Application 1, 2 and 3, </t>
    </r>
    <r>
      <rPr>
        <i val="true"/>
        <sz val="11"/>
        <color theme="1"/>
        <rFont val="Calibri"/>
        <family val="2"/>
        <charset val="1"/>
      </rPr>
      <t xml:space="preserve">S</t>
    </r>
    <r>
      <rPr>
        <i val="true"/>
        <vertAlign val="subscript"/>
        <sz val="11"/>
        <color theme="1"/>
        <rFont val="Calibri"/>
        <family val="2"/>
        <charset val="1"/>
      </rPr>
      <t xml:space="preserve">1</t>
    </r>
    <r>
      <rPr>
        <sz val="11"/>
        <color theme="1"/>
        <rFont val="Calibri"/>
        <family val="2"/>
        <charset val="1"/>
      </rPr>
      <t xml:space="preserve">, </t>
    </r>
    <r>
      <rPr>
        <i val="true"/>
        <sz val="11"/>
        <color theme="1"/>
        <rFont val="Calibri"/>
        <family val="2"/>
        <charset val="1"/>
      </rPr>
      <t xml:space="preserve">S</t>
    </r>
    <r>
      <rPr>
        <i val="true"/>
        <vertAlign val="subscript"/>
        <sz val="11"/>
        <color theme="1"/>
        <rFont val="Calibri"/>
        <family val="2"/>
        <charset val="1"/>
      </rPr>
      <t xml:space="preserve">2</t>
    </r>
    <r>
      <rPr>
        <sz val="11"/>
        <color theme="1"/>
        <rFont val="Calibri"/>
        <family val="2"/>
        <charset val="1"/>
      </rPr>
      <t xml:space="preserve">, </t>
    </r>
    <r>
      <rPr>
        <i val="true"/>
        <sz val="11"/>
        <color theme="1"/>
        <rFont val="Calibri"/>
        <family val="2"/>
        <charset val="1"/>
      </rPr>
      <t xml:space="preserve">S</t>
    </r>
    <r>
      <rPr>
        <i val="true"/>
        <vertAlign val="subscript"/>
        <sz val="11"/>
        <color theme="1"/>
        <rFont val="Calibri"/>
        <family val="2"/>
        <charset val="1"/>
      </rPr>
      <t xml:space="preserve">3</t>
    </r>
    <r>
      <rPr>
        <sz val="11"/>
        <color theme="1"/>
        <rFont val="Calibri"/>
        <family val="2"/>
        <charset val="1"/>
      </rPr>
      <t xml:space="preserve">, </t>
    </r>
    <r>
      <rPr>
        <i val="true"/>
        <sz val="11"/>
        <color theme="1"/>
        <rFont val="Calibri"/>
        <family val="2"/>
        <charset val="1"/>
      </rPr>
      <t xml:space="preserve">S</t>
    </r>
    <r>
      <rPr>
        <i val="true"/>
        <vertAlign val="subscript"/>
        <sz val="11"/>
        <color theme="1"/>
        <rFont val="Calibri"/>
        <family val="2"/>
        <charset val="1"/>
      </rPr>
      <t xml:space="preserve">4</t>
    </r>
    <r>
      <rPr>
        <sz val="11"/>
        <color theme="1"/>
        <rFont val="Calibri"/>
        <family val="2"/>
        <charset val="1"/>
      </rPr>
      <t xml:space="preserve">, and </t>
    </r>
    <r>
      <rPr>
        <i val="true"/>
        <sz val="11"/>
        <color theme="1"/>
        <rFont val="Calibri"/>
        <family val="2"/>
        <charset val="1"/>
      </rPr>
      <t xml:space="preserve">S</t>
    </r>
    <r>
      <rPr>
        <i val="true"/>
        <vertAlign val="subscript"/>
        <sz val="11"/>
        <color theme="1"/>
        <rFont val="Calibri"/>
        <family val="2"/>
        <charset val="1"/>
      </rPr>
      <t xml:space="preserve">5</t>
    </r>
  </si>
  <si>
    <t xml:space="preserve">sieve</t>
  </si>
  <si>
    <t xml:space="preserve">Hjorth et al. (2009)</t>
  </si>
  <si>
    <t xml:space="preserve">laboratory dynamic chambers</t>
  </si>
  <si>
    <t xml:space="preserve">sandy soil</t>
  </si>
  <si>
    <t xml:space="preserve">DM, TAN, pH and NH3 data from Email message from T. Nyord 03 Dec 2021 to jp@bce.au.dk.</t>
  </si>
  <si>
    <t xml:space="preserve">All data</t>
  </si>
  <si>
    <t xml:space="preserve">belt press</t>
  </si>
  <si>
    <t xml:space="preserve">belt press + coagulant</t>
  </si>
  <si>
    <t xml:space="preserve">digestate</t>
  </si>
  <si>
    <t xml:space="preserve">Monaco et al. (2012)</t>
  </si>
  <si>
    <t xml:space="preserve">loam and silty-loam</t>
  </si>
  <si>
    <r>
      <rPr>
        <i val="true"/>
        <sz val="11"/>
        <color theme="1"/>
        <rFont val="Calibri"/>
        <family val="2"/>
        <charset val="1"/>
      </rPr>
      <t xml:space="preserve">Untreated slurry </t>
    </r>
    <r>
      <rPr>
        <sz val="11"/>
        <color theme="1"/>
        <rFont val="Calibri"/>
        <family val="2"/>
        <charset val="1"/>
      </rPr>
      <t xml:space="preserve">and </t>
    </r>
    <r>
      <rPr>
        <i val="true"/>
        <sz val="11"/>
        <color theme="1"/>
        <rFont val="Calibri"/>
        <family val="2"/>
        <charset val="1"/>
      </rPr>
      <t xml:space="preserve">Untreated slurry liquid</t>
    </r>
  </si>
  <si>
    <t xml:space="preserve">Nyord et al. (2012)</t>
  </si>
  <si>
    <t xml:space="preserve">winter wheat</t>
  </si>
  <si>
    <t xml:space="preserve">Table 5</t>
  </si>
  <si>
    <r>
      <rPr>
        <sz val="11"/>
        <color theme="1"/>
        <rFont val="Calibri"/>
        <family val="2"/>
        <charset val="1"/>
      </rPr>
      <t xml:space="preserve">Emission 2008, </t>
    </r>
    <r>
      <rPr>
        <i val="true"/>
        <sz val="11"/>
        <color theme="1"/>
        <rFont val="Calibri"/>
        <family val="2"/>
        <charset val="1"/>
      </rPr>
      <t xml:space="preserve">Untreated</t>
    </r>
    <r>
      <rPr>
        <sz val="11"/>
        <color theme="1"/>
        <rFont val="Calibri"/>
        <family val="2"/>
        <charset val="1"/>
      </rPr>
      <t xml:space="preserve"> and </t>
    </r>
    <r>
      <rPr>
        <i val="true"/>
        <sz val="11"/>
        <color theme="1"/>
        <rFont val="Calibri"/>
        <family val="2"/>
        <charset val="1"/>
      </rPr>
      <t xml:space="preserve">Separated</t>
    </r>
  </si>
  <si>
    <t xml:space="preserve">belt press + polymer</t>
  </si>
  <si>
    <t xml:space="preserve">Nyord (2018)</t>
  </si>
  <si>
    <t xml:space="preserve">Leuning samplers</t>
  </si>
  <si>
    <t xml:space="preserve">Email message from T. Nyord 24 Nov 2021 to jp@bce.au.dk.</t>
  </si>
  <si>
    <t xml:space="preserve">Only single measurement for separated during second trial. Emission measurements between 48 and 65 hours. </t>
  </si>
  <si>
    <t xml:space="preserve">screw press</t>
  </si>
  <si>
    <t xml:space="preserve">Owusu-Twum et al. (2017)</t>
  </si>
  <si>
    <t xml:space="preserve">Dystric cambisol </t>
  </si>
  <si>
    <t xml:space="preserve">Red of Fig 1</t>
  </si>
  <si>
    <r>
      <rPr>
        <i val="true"/>
        <sz val="11"/>
        <color theme="1"/>
        <rFont val="Calibri"/>
        <family val="2"/>
        <charset val="1"/>
      </rPr>
      <t xml:space="preserve">WS</t>
    </r>
    <r>
      <rPr>
        <sz val="11"/>
        <color theme="1"/>
        <rFont val="Calibri"/>
        <family val="2"/>
        <charset val="1"/>
      </rPr>
      <t xml:space="preserve">, </t>
    </r>
    <r>
      <rPr>
        <i val="true"/>
        <sz val="11"/>
        <color theme="1"/>
        <rFont val="Calibri"/>
        <family val="2"/>
        <charset val="1"/>
      </rPr>
      <t xml:space="preserve">LF</t>
    </r>
    <r>
      <rPr>
        <sz val="11"/>
        <color theme="1"/>
        <rFont val="Calibri"/>
        <family val="2"/>
        <charset val="1"/>
      </rPr>
      <t xml:space="preserve">, </t>
    </r>
    <r>
      <rPr>
        <i val="true"/>
        <sz val="11"/>
        <color theme="1"/>
        <rFont val="Calibri"/>
        <family val="2"/>
        <charset val="1"/>
      </rPr>
      <t xml:space="preserve">LFB, </t>
    </r>
    <r>
      <rPr>
        <sz val="11"/>
        <color theme="1"/>
        <rFont val="Calibri"/>
        <family val="2"/>
        <charset val="1"/>
      </rPr>
      <t xml:space="preserve">and </t>
    </r>
    <r>
      <rPr>
        <i val="true"/>
        <sz val="11"/>
        <color theme="1"/>
        <rFont val="Calibri"/>
        <family val="2"/>
        <charset val="1"/>
      </rPr>
      <t xml:space="preserve">LFJ</t>
    </r>
  </si>
  <si>
    <t xml:space="preserve">Application rate calculated from tot N and application rate of 130 kgN/ha</t>
  </si>
  <si>
    <t xml:space="preserve">screw press + biological additives</t>
  </si>
  <si>
    <t xml:space="preserve">Pedersen et al. (2020)</t>
  </si>
  <si>
    <t xml:space="preserve">NA</t>
  </si>
  <si>
    <t xml:space="preserve">spring oat stubble</t>
  </si>
  <si>
    <t xml:space="preserve">Fig 4. and raw data from J. Pedersen</t>
  </si>
  <si>
    <r>
      <rPr>
        <sz val="11"/>
        <color theme="1"/>
        <rFont val="Calibri"/>
        <family val="2"/>
        <charset val="1"/>
      </rPr>
      <t xml:space="preserve">Both experiments, </t>
    </r>
    <r>
      <rPr>
        <i val="true"/>
        <sz val="11"/>
        <color theme="1"/>
        <rFont val="Calibri"/>
        <family val="2"/>
        <charset val="1"/>
      </rPr>
      <t xml:space="preserve">Untreated</t>
    </r>
    <r>
      <rPr>
        <sz val="11"/>
        <color theme="1"/>
        <rFont val="Calibri"/>
        <family val="2"/>
        <charset val="1"/>
      </rPr>
      <t xml:space="preserve"> and </t>
    </r>
    <r>
      <rPr>
        <i val="true"/>
        <sz val="11"/>
        <color theme="1"/>
        <rFont val="Calibri"/>
        <family val="2"/>
        <charset val="1"/>
      </rPr>
      <t xml:space="preserve">Separated</t>
    </r>
  </si>
  <si>
    <t xml:space="preserve">Liquid volume% as in Anderson et al., in preparation</t>
  </si>
  <si>
    <t xml:space="preserve">sandy loam </t>
  </si>
  <si>
    <t xml:space="preserve">Pedersen et al. (2021)</t>
  </si>
  <si>
    <t xml:space="preserve">silty loam</t>
  </si>
  <si>
    <t xml:space="preserve">Raw data from J. Pedersen</t>
  </si>
  <si>
    <r>
      <rPr>
        <i val="true"/>
        <sz val="11"/>
        <color theme="1"/>
        <rFont val="Calibri"/>
        <family val="2"/>
        <charset val="1"/>
      </rPr>
      <t xml:space="preserve">Untreated broadcast </t>
    </r>
    <r>
      <rPr>
        <sz val="11"/>
        <color theme="1"/>
        <rFont val="Calibri"/>
        <family val="2"/>
        <charset val="1"/>
      </rPr>
      <t xml:space="preserve">and </t>
    </r>
    <r>
      <rPr>
        <i val="true"/>
        <sz val="11"/>
        <color theme="1"/>
        <rFont val="Calibri"/>
        <family val="2"/>
        <charset val="1"/>
      </rPr>
      <t xml:space="preserve">Separated broadcast </t>
    </r>
    <r>
      <rPr>
        <sz val="11"/>
        <color theme="1"/>
        <rFont val="Calibri"/>
        <family val="2"/>
        <charset val="1"/>
      </rPr>
      <t xml:space="preserve">from exeriment A and C, </t>
    </r>
    <r>
      <rPr>
        <i val="true"/>
        <sz val="11"/>
        <color theme="1"/>
        <rFont val="Calibri"/>
        <family val="2"/>
        <charset val="1"/>
      </rPr>
      <t xml:space="preserve">Untreated narrow banded,</t>
    </r>
    <r>
      <rPr>
        <sz val="11"/>
        <color theme="1"/>
        <rFont val="Calibri"/>
        <family val="2"/>
        <charset val="1"/>
      </rPr>
      <t xml:space="preserve"> </t>
    </r>
    <r>
      <rPr>
        <i val="true"/>
        <sz val="11"/>
        <color theme="1"/>
        <rFont val="Calibri"/>
        <family val="2"/>
        <charset val="1"/>
      </rPr>
      <t xml:space="preserve">Separated narrow banded, </t>
    </r>
    <r>
      <rPr>
        <sz val="11"/>
        <color theme="1"/>
        <rFont val="Calibri"/>
        <family val="2"/>
        <charset val="1"/>
      </rPr>
      <t xml:space="preserve">Untreated SSD</t>
    </r>
    <r>
      <rPr>
        <i val="true"/>
        <sz val="11"/>
        <color theme="1"/>
        <rFont val="Calibri"/>
        <family val="2"/>
        <charset val="1"/>
      </rPr>
      <t xml:space="preserve">, </t>
    </r>
    <r>
      <rPr>
        <sz val="11"/>
        <color theme="1"/>
        <rFont val="Calibri"/>
        <family val="2"/>
        <charset val="1"/>
      </rPr>
      <t xml:space="preserve">and </t>
    </r>
    <r>
      <rPr>
        <i val="true"/>
        <sz val="11"/>
        <color theme="1"/>
        <rFont val="Calibri"/>
        <family val="2"/>
        <charset val="1"/>
      </rPr>
      <t xml:space="preserve">Separated SSD</t>
    </r>
    <r>
      <rPr>
        <sz val="11"/>
        <color theme="1"/>
        <rFont val="Calibri"/>
        <family val="2"/>
        <charset val="1"/>
      </rPr>
      <t xml:space="preserve"> from experiment B and D.</t>
    </r>
  </si>
  <si>
    <t xml:space="preserve">Raw data numbers for each experiment, e.g. not the numbers that is in the article. </t>
  </si>
  <si>
    <t xml:space="preserve">Sommer et al. (1991)</t>
  </si>
  <si>
    <t xml:space="preserve">mechanical separation and then mixed in different ratio</t>
  </si>
  <si>
    <t xml:space="preserve">mix</t>
  </si>
  <si>
    <t xml:space="preserve">sandy loam</t>
  </si>
  <si>
    <r>
      <rPr>
        <sz val="11"/>
        <color theme="1"/>
        <rFont val="Calibri"/>
        <family val="2"/>
        <charset val="1"/>
      </rPr>
      <t xml:space="preserve">Exp no. 3, 6, and 7 all data, Exp no. 4 and 5 DM 2.8% and 8.2%.  </t>
    </r>
    <r>
      <rPr>
        <i val="true"/>
        <sz val="11"/>
        <color theme="1"/>
        <rFont val="Calibri"/>
        <family val="2"/>
        <charset val="1"/>
      </rPr>
      <t xml:space="preserve">Accum. NH</t>
    </r>
    <r>
      <rPr>
        <i val="true"/>
        <vertAlign val="subscript"/>
        <sz val="11"/>
        <color theme="1"/>
        <rFont val="Calibri"/>
        <family val="2"/>
        <charset val="1"/>
      </rPr>
      <t xml:space="preserve">3</t>
    </r>
    <r>
      <rPr>
        <i val="true"/>
        <sz val="11"/>
        <color theme="1"/>
        <rFont val="Calibri"/>
        <family val="2"/>
        <charset val="1"/>
      </rPr>
      <t xml:space="preserve"> loss 6 d</t>
    </r>
    <r>
      <rPr>
        <sz val="11"/>
        <color theme="1"/>
        <rFont val="Calibri"/>
        <family val="2"/>
        <charset val="1"/>
      </rPr>
      <t xml:space="preserve">.</t>
    </r>
  </si>
  <si>
    <t xml:space="preserve">Drawback: only single measurement (one WT pr. treatment). Extreemly high emissions, due to the correction they make or high wind speed in WT? Don't trust cumulative emission but relative should still be ok. Omitted data with 22% - not within the realistic range. </t>
  </si>
  <si>
    <t xml:space="preserve">Only single replicate per measurement. Omitted data with 22% - not within the realistic range for slurry. </t>
  </si>
  <si>
    <t xml:space="preserve">Sommer et al. (2006)</t>
  </si>
  <si>
    <t xml:space="preserve">sandy </t>
  </si>
  <si>
    <t xml:space="preserve">Red of Fig. 2</t>
  </si>
  <si>
    <r>
      <rPr>
        <i val="true"/>
        <sz val="11"/>
        <color theme="1"/>
        <rFont val="Calibri"/>
        <family val="2"/>
        <charset val="1"/>
      </rPr>
      <t xml:space="preserve">Digested pig slurry/sandy-loam</t>
    </r>
    <r>
      <rPr>
        <sz val="11"/>
        <color theme="1"/>
        <rFont val="Calibri"/>
        <family val="2"/>
        <charset val="1"/>
      </rPr>
      <t xml:space="preserve">, </t>
    </r>
    <r>
      <rPr>
        <i val="true"/>
        <sz val="11"/>
        <color theme="1"/>
        <rFont val="Calibri"/>
        <family val="2"/>
        <charset val="1"/>
      </rPr>
      <t xml:space="preserve">Digested separated pig slurry/sandy-loam</t>
    </r>
    <r>
      <rPr>
        <sz val="11"/>
        <color theme="1"/>
        <rFont val="Calibri"/>
        <family val="2"/>
        <charset val="1"/>
      </rPr>
      <t xml:space="preserve">, </t>
    </r>
    <r>
      <rPr>
        <i val="true"/>
        <sz val="11"/>
        <color theme="1"/>
        <rFont val="Calibri"/>
        <family val="2"/>
        <charset val="1"/>
      </rPr>
      <t xml:space="preserve">Digested pig slurry/sandy soil</t>
    </r>
    <r>
      <rPr>
        <sz val="11"/>
        <color theme="1"/>
        <rFont val="Calibri"/>
        <family val="2"/>
        <charset val="1"/>
      </rPr>
      <t xml:space="preserve">, and </t>
    </r>
    <r>
      <rPr>
        <i val="true"/>
        <sz val="11"/>
        <color theme="1"/>
        <rFont val="Calibri"/>
        <family val="2"/>
        <charset val="1"/>
      </rPr>
      <t xml:space="preserve">Digested separated pig slurry/sandy soil.</t>
    </r>
  </si>
  <si>
    <t xml:space="preserve">decanter centrifuge</t>
  </si>
  <si>
    <t xml:space="preserve">sandy</t>
  </si>
  <si>
    <t xml:space="preserve">Red of Fig. 3</t>
  </si>
  <si>
    <t xml:space="preserve">Red of Fig. 4</t>
  </si>
  <si>
    <t xml:space="preserve">Red of Fig. 5</t>
  </si>
  <si>
    <t xml:space="preserve">Stevens et al. (1992)</t>
  </si>
  <si>
    <t xml:space="preserve">Fig 1</t>
  </si>
  <si>
    <t xml:space="preserve">Experiment 1, all data.</t>
  </si>
  <si>
    <t xml:space="preserve">Thompson et al. (1990)</t>
  </si>
  <si>
    <t xml:space="preserve">Data in Table 2 does not mach with text in 'Results and Discussion - Experiment 1 where they write that the emissions were 38 and 35%. </t>
  </si>
  <si>
    <t xml:space="preserve">mechanical separation</t>
  </si>
  <si>
    <t xml:space="preserve">Vandre et al. (1997)</t>
  </si>
  <si>
    <t xml:space="preserve">indirect open measurement technique</t>
  </si>
  <si>
    <r>
      <rPr>
        <i val="true"/>
        <sz val="11"/>
        <color theme="1"/>
        <rFont val="Calibri"/>
        <family val="2"/>
        <charset val="1"/>
      </rPr>
      <t xml:space="preserve">Untreated slurry</t>
    </r>
    <r>
      <rPr>
        <sz val="11"/>
        <color theme="1"/>
        <rFont val="Calibri"/>
        <family val="2"/>
        <charset val="1"/>
      </rPr>
      <t xml:space="preserve"> and </t>
    </r>
    <r>
      <rPr>
        <i val="true"/>
        <sz val="11"/>
        <color theme="1"/>
        <rFont val="Calibri"/>
        <family val="2"/>
        <charset val="1"/>
      </rPr>
      <t xml:space="preserve">Separated slurry</t>
    </r>
    <r>
      <rPr>
        <sz val="11"/>
        <color theme="1"/>
        <rFont val="Calibri"/>
        <family val="2"/>
        <charset val="1"/>
      </rPr>
      <t xml:space="preserve">, b.c. (broadcast)</t>
    </r>
    <r>
      <rPr>
        <i val="true"/>
        <sz val="11"/>
        <color theme="1"/>
        <rFont val="Calibri"/>
        <family val="2"/>
        <charset val="1"/>
      </rPr>
      <t xml:space="preserve">, </t>
    </r>
    <r>
      <rPr>
        <sz val="11"/>
        <color theme="1"/>
        <rFont val="Calibri"/>
        <family val="2"/>
        <charset val="1"/>
      </rPr>
      <t xml:space="preserve">inj. </t>
    </r>
    <r>
      <rPr>
        <i val="true"/>
        <sz val="11"/>
        <color theme="1"/>
        <rFont val="Calibri"/>
        <family val="2"/>
        <charset val="1"/>
      </rPr>
      <t xml:space="preserve">(injected), </t>
    </r>
    <r>
      <rPr>
        <sz val="11"/>
        <color theme="1"/>
        <rFont val="Calibri"/>
        <family val="2"/>
        <charset val="1"/>
      </rPr>
      <t xml:space="preserve">and harr</t>
    </r>
    <r>
      <rPr>
        <i val="true"/>
        <sz val="11"/>
        <color theme="1"/>
        <rFont val="Calibri"/>
        <family val="2"/>
        <charset val="1"/>
      </rPr>
      <t xml:space="preserve">. (harrowing)</t>
    </r>
  </si>
  <si>
    <t xml:space="preserve"> Injection: banded slurry application into slits in the soil made by metal hooks. Harrowing: banded slurry application followed by narrow tillage using a flexible harrrow.</t>
  </si>
  <si>
    <t xml:space="preserve">forcing slurry through coarse textile</t>
  </si>
  <si>
    <t xml:space="preserve">Red of Fig. 6</t>
  </si>
  <si>
    <t xml:space="preserve">Red of Fig. 7</t>
  </si>
  <si>
    <t xml:space="preserve">Red of Fig. 8</t>
  </si>
  <si>
    <t xml:space="preserve">Red of Fig. 9</t>
  </si>
  <si>
    <t xml:space="preserve">Red of Fig. 10</t>
  </si>
  <si>
    <t xml:space="preserve">open slot injection</t>
  </si>
  <si>
    <t xml:space="preserve">Red of Fig. 11</t>
  </si>
  <si>
    <t xml:space="preserve">Red of Fig. 12</t>
  </si>
  <si>
    <t xml:space="preserve">Red of Fig. 13</t>
  </si>
  <si>
    <t xml:space="preserve">Red of Fig. 14</t>
  </si>
  <si>
    <t xml:space="preserve">Red of Fig. 15</t>
  </si>
  <si>
    <t xml:space="preserve">Red of Fig. 16</t>
  </si>
  <si>
    <t xml:space="preserve">Red of Fig. 17</t>
  </si>
  <si>
    <t xml:space="preserve">Red of Fig. 18</t>
  </si>
  <si>
    <t xml:space="preserve">trailing hose + harrowing</t>
  </si>
  <si>
    <t xml:space="preserve">Red of Fig. 19</t>
  </si>
  <si>
    <t xml:space="preserve">Red of Fig. 20</t>
  </si>
  <si>
    <t xml:space="preserve">Red of Fig. 21</t>
  </si>
  <si>
    <t xml:space="preserve">Red of Fig. 22</t>
  </si>
  <si>
    <t xml:space="preserve">Red of Fig. 23</t>
  </si>
  <si>
    <t xml:space="preserve">Red of Fig. 24</t>
  </si>
  <si>
    <t xml:space="preserve">Red of Fig. 25</t>
  </si>
  <si>
    <t xml:space="preserve">lab</t>
  </si>
  <si>
    <t xml:space="preserve">Red of Fig. 26</t>
  </si>
  <si>
    <t xml:space="preserve">Wagner et al. (2021)</t>
  </si>
  <si>
    <t xml:space="preserve">DTM</t>
  </si>
  <si>
    <t xml:space="preserve">Fig. 4 and Email message from A. Pacholski 25 Nov 2021 to jp@bce.au.dk.</t>
  </si>
  <si>
    <r>
      <rPr>
        <i val="true"/>
        <sz val="11"/>
        <color theme="1"/>
        <rFont val="Calibri"/>
        <family val="2"/>
        <charset val="1"/>
      </rPr>
      <t xml:space="preserve">First winter wheat trial</t>
    </r>
    <r>
      <rPr>
        <sz val="11"/>
        <color theme="1"/>
        <rFont val="Calibri"/>
        <family val="2"/>
        <charset val="1"/>
      </rPr>
      <t xml:space="preserve"> and </t>
    </r>
    <r>
      <rPr>
        <i val="true"/>
        <sz val="11"/>
        <color theme="1"/>
        <rFont val="Calibri"/>
        <family val="2"/>
        <charset val="1"/>
      </rPr>
      <t xml:space="preserve">Second winter wheat trial</t>
    </r>
    <r>
      <rPr>
        <sz val="11"/>
        <color theme="1"/>
        <rFont val="Calibri"/>
        <family val="2"/>
        <charset val="1"/>
      </rPr>
      <t xml:space="preserve">, </t>
    </r>
    <r>
      <rPr>
        <i val="true"/>
        <sz val="11"/>
        <color theme="1"/>
        <rFont val="Calibri"/>
        <family val="2"/>
        <charset val="1"/>
      </rPr>
      <t xml:space="preserve">AD</t>
    </r>
    <r>
      <rPr>
        <sz val="11"/>
        <color theme="1"/>
        <rFont val="Calibri"/>
        <family val="2"/>
        <charset val="1"/>
      </rPr>
      <t xml:space="preserve"> and </t>
    </r>
    <r>
      <rPr>
        <i val="true"/>
        <sz val="11"/>
        <color theme="1"/>
        <rFont val="Calibri"/>
        <family val="2"/>
        <charset val="1"/>
      </rPr>
      <t xml:space="preserve">AS.</t>
    </r>
  </si>
  <si>
    <t xml:space="preserve">Emission data from Andreas Pacholski, see mail from 25-11-2021. Same data as in Ramiran2015 abstract. Low TAN in the digeste. Unexplaned differences between the two experiments. Duration varied between 72 and 96 h.</t>
  </si>
  <si>
    <t xml:space="preserve">Same data as in Ramiran 2015 abstract. Low TAN in the digeste. Unexplaned differences between the two experiments. Duration varied between 72 and 96 h.</t>
  </si>
  <si>
    <t xml:space="preserve">General info</t>
  </si>
  <si>
    <t xml:space="preserve">Separation efficiency</t>
  </si>
  <si>
    <t xml:space="preserve">Samples</t>
  </si>
  <si>
    <t xml:space="preserve">Fraction studied</t>
  </si>
  <si>
    <t xml:space="preserve">Dry matter separation efficiency (%)</t>
  </si>
  <si>
    <t xml:space="preserve">Total ammoniacal nitrogen (TAN) separation efficiency (%)</t>
  </si>
  <si>
    <t xml:space="preserve">% mass after separation</t>
  </si>
  <si>
    <t xml:space="preserve">Separation efficiency source in original publication</t>
  </si>
  <si>
    <t xml:space="preserve">frac</t>
  </si>
  <si>
    <t xml:space="preserve">DM.sep.eff</t>
  </si>
  <si>
    <t xml:space="preserve">TAN.sep.eff</t>
  </si>
  <si>
    <t xml:space="preserve">Mass.sep.eff</t>
  </si>
  <si>
    <t xml:space="preserve">sep.eff.source</t>
  </si>
  <si>
    <t xml:space="preserve">Aguirre-Villegas et al. (2019)</t>
  </si>
  <si>
    <t xml:space="preserve">Farm 1</t>
  </si>
  <si>
    <t xml:space="preserve">Farm 2</t>
  </si>
  <si>
    <t xml:space="preserve">Farm 3</t>
  </si>
  <si>
    <t xml:space="preserve">Farm 4</t>
  </si>
  <si>
    <t xml:space="preserve">Farm 5</t>
  </si>
  <si>
    <t xml:space="preserve">Farm 6</t>
  </si>
  <si>
    <t xml:space="preserve">Farm 7</t>
  </si>
  <si>
    <t xml:space="preserve">Farm 8</t>
  </si>
  <si>
    <t xml:space="preserve">Farm 9</t>
  </si>
  <si>
    <t xml:space="preserve">Anderson et al, in prep</t>
  </si>
  <si>
    <t xml:space="preserve">Bachmann et al. (2016)</t>
  </si>
  <si>
    <t xml:space="preserve">From Fig. 1</t>
  </si>
  <si>
    <t xml:space="preserve">Bauer et al. (2009)</t>
  </si>
  <si>
    <t xml:space="preserve">data is pooled for screw press and rotary screen separator in the paper</t>
  </si>
  <si>
    <t xml:space="preserve">calculated</t>
  </si>
  <si>
    <t xml:space="preserve">Table 2 and calculated</t>
  </si>
  <si>
    <t xml:space="preserve">Cavalli et al. (2017)</t>
  </si>
  <si>
    <t xml:space="preserve">Table 1</t>
  </si>
  <si>
    <t xml:space="preserve">Fournel et al. (2019)</t>
  </si>
  <si>
    <t xml:space="preserve">table 6, wk 1</t>
  </si>
  <si>
    <t xml:space="preserve">table 6, wk 2</t>
  </si>
  <si>
    <t xml:space="preserve">Gooch et al. (2005)</t>
  </si>
  <si>
    <t xml:space="preserve">very low TAN concentrations compared to Danish conditions</t>
  </si>
  <si>
    <t xml:space="preserve">Table 9, Farm AA-1, mass separation calculated from table 4</t>
  </si>
  <si>
    <t xml:space="preserve">Table 9, Farm AA-1</t>
  </si>
  <si>
    <t xml:space="preserve">Table 9, Farm AA-2, mass separation calculated from table 4</t>
  </si>
  <si>
    <t xml:space="preserve">Table 9, Farm AA-2</t>
  </si>
  <si>
    <t xml:space="preserve">Table 9, Farm ML, mass separation calculated from table 4</t>
  </si>
  <si>
    <t xml:space="preserve">Table 9, Farm ML</t>
  </si>
  <si>
    <t xml:space="preserve">Table 9, Farm FA, mass separation calculated from table 4</t>
  </si>
  <si>
    <t xml:space="preserve">Table 9, Farm FA</t>
  </si>
  <si>
    <t xml:space="preserve">Holly et al. (2017)</t>
  </si>
  <si>
    <t xml:space="preserve">calculated from values in Table 1</t>
  </si>
  <si>
    <t xml:space="preserve">Højgaards (2009)</t>
  </si>
  <si>
    <r>
      <rPr>
        <sz val="11"/>
        <color theme="1"/>
        <rFont val="Calibri"/>
        <family val="2"/>
        <charset val="1"/>
      </rPr>
      <t xml:space="preserve">Email from Tonny Højgaard to anna</t>
    </r>
    <r>
      <rPr>
        <b val="true"/>
        <sz val="11"/>
        <color theme="1"/>
        <rFont val="Calibri"/>
        <family val="2"/>
        <charset val="1"/>
      </rPr>
      <t xml:space="preserve">@</t>
    </r>
    <r>
      <rPr>
        <sz val="11"/>
        <color theme="1"/>
        <rFont val="Calibri"/>
        <family val="2"/>
        <charset val="1"/>
      </rPr>
      <t xml:space="preserve">bce.au.dk the 19th of January 2022 forwarded jp@bce.au.dk the 24th of January 2022, test performed September 2009. Dataset on sheet 1.</t>
    </r>
  </si>
  <si>
    <r>
      <rPr>
        <sz val="11"/>
        <color theme="1"/>
        <rFont val="Calibri"/>
        <family val="2"/>
        <charset val="1"/>
      </rPr>
      <t xml:space="preserve">Email from Tonny Højgaard to anna</t>
    </r>
    <r>
      <rPr>
        <b val="true"/>
        <sz val="11"/>
        <color theme="1"/>
        <rFont val="Calibri"/>
        <family val="2"/>
        <charset val="1"/>
      </rPr>
      <t xml:space="preserve">@</t>
    </r>
    <r>
      <rPr>
        <sz val="11"/>
        <color theme="1"/>
        <rFont val="Calibri"/>
        <family val="2"/>
        <charset val="1"/>
      </rPr>
      <t xml:space="preserve">bce.au.dk the 19th of January 2022 forwarded jp@bce.au.dk the 24th of January 2022, test performed September 2009. Dataset on sheet 2.</t>
    </r>
  </si>
  <si>
    <r>
      <rPr>
        <sz val="11"/>
        <color theme="1"/>
        <rFont val="Calibri"/>
        <family val="2"/>
        <charset val="1"/>
      </rPr>
      <t xml:space="preserve">Email from Tonny Højgaard to anna</t>
    </r>
    <r>
      <rPr>
        <b val="true"/>
        <sz val="11"/>
        <color theme="1"/>
        <rFont val="Calibri"/>
        <family val="2"/>
        <charset val="1"/>
      </rPr>
      <t xml:space="preserve">@</t>
    </r>
    <r>
      <rPr>
        <sz val="11"/>
        <color theme="1"/>
        <rFont val="Calibri"/>
        <family val="2"/>
        <charset val="1"/>
      </rPr>
      <t xml:space="preserve">bce.au.dk the 19th of January 2022 forwarded jp@bce.au.dk the 24th of January 2022, test performed September 2009. Dataset on sheet 3.</t>
    </r>
  </si>
  <si>
    <r>
      <rPr>
        <sz val="11"/>
        <color theme="1"/>
        <rFont val="Calibri"/>
        <family val="2"/>
        <charset val="1"/>
      </rPr>
      <t xml:space="preserve">Email from Tonny Højgaard to anna</t>
    </r>
    <r>
      <rPr>
        <b val="true"/>
        <sz val="11"/>
        <color theme="1"/>
        <rFont val="Calibri"/>
        <family val="2"/>
        <charset val="1"/>
      </rPr>
      <t xml:space="preserve">@</t>
    </r>
    <r>
      <rPr>
        <sz val="11"/>
        <color theme="1"/>
        <rFont val="Calibri"/>
        <family val="2"/>
        <charset val="1"/>
      </rPr>
      <t xml:space="preserve">bce.au.dk the 19th of January 2022 forwarded jp@bce.au.dk the 24th of January 2022, test performed September 2009. Dataset on sheet 4.</t>
    </r>
  </si>
  <si>
    <t xml:space="preserve">Højgaards (2020)</t>
  </si>
  <si>
    <t xml:space="preserve">Email from Tonny Højgaard to jp@bce.au.dk the 27th of January 2022, test performed on the 6th of October 2020</t>
  </si>
  <si>
    <t xml:space="preserve">Møller et al. (2000)</t>
  </si>
  <si>
    <t xml:space="preserve">Møller et al. (2002)</t>
  </si>
  <si>
    <t xml:space="preserve">Manure no 1a</t>
  </si>
  <si>
    <t xml:space="preserve">Manure no 1b</t>
  </si>
  <si>
    <t xml:space="preserve">Manure no 2</t>
  </si>
  <si>
    <t xml:space="preserve">Manure no 3</t>
  </si>
  <si>
    <t xml:space="preserve">Manure no 4</t>
  </si>
  <si>
    <t xml:space="preserve">Manure no 5</t>
  </si>
  <si>
    <t xml:space="preserve">Manure no 6</t>
  </si>
  <si>
    <t xml:space="preserve">Manure no 7</t>
  </si>
  <si>
    <t xml:space="preserve">Manure no 8</t>
  </si>
  <si>
    <t xml:space="preserve">Manure no 9</t>
  </si>
  <si>
    <t xml:space="preserve">Manure no 10</t>
  </si>
  <si>
    <t xml:space="preserve">Møller et al. (2007)</t>
  </si>
  <si>
    <t xml:space="preserve">Manure ID 1</t>
  </si>
  <si>
    <t xml:space="preserve">Manure ID 2</t>
  </si>
  <si>
    <t xml:space="preserve">Manure ID 3</t>
  </si>
  <si>
    <t xml:space="preserve">Manure ID 4</t>
  </si>
  <si>
    <t xml:space="preserve">Manure ID 5</t>
  </si>
  <si>
    <t xml:space="preserve">Manure ID 6</t>
  </si>
  <si>
    <t xml:space="preserve">Støckler (2022)</t>
  </si>
  <si>
    <t xml:space="preserve">Personal communication with Peter S. Nielsen, technician at Aarhus University, Department of Biological and Chemical Engineering 02-02-2022</t>
  </si>
  <si>
    <t xml:space="preserve">Assuming density of liquid and untreated fraction = 1 kg/L</t>
  </si>
  <si>
    <t xml:space="preserve">Personal communication with Anna Joost Støckler, PhD student at Aarhus University, Department of Biological and Chemical Engineering 07-02-2022</t>
  </si>
  <si>
    <t xml:space="preserve">Tambone et al. (2017)</t>
  </si>
  <si>
    <t xml:space="preserve">Plant 1. Assume that there is a factor 10 wrong in the reporting of TAN in Table 2.</t>
  </si>
  <si>
    <t xml:space="preserve">Plant 2. Assume that there is a factor 10 wrong in the reporting of TAN in Table 2.</t>
  </si>
  <si>
    <t xml:space="preserve">Plant 3. Assume that there is a factor 10 wrong in the reporting of TAN in Table 2.</t>
  </si>
  <si>
    <t xml:space="preserve">Plant 4. Assume that there is a factor 10 wrong in the reporting of TAN in Table 2.</t>
  </si>
  <si>
    <t xml:space="preserve">Plant 5. Assume that there is a factor 10 wrong in the reporting of TAN in Table 2.</t>
  </si>
  <si>
    <t xml:space="preserve">Plant 6. Assume that there is a factor 10 wrong in the reporting of TAN in Table 2.</t>
  </si>
  <si>
    <t xml:space="preserve">Plant 9. Assume that there is a factor 10 wrong in the reporting of TAN in Table 2.</t>
  </si>
  <si>
    <t xml:space="preserve">Plant 10. Assume that there is a factor 10 wrong in the reporting of TAN in Table 2.</t>
  </si>
  <si>
    <t xml:space="preserve">Plant 11. Assume that there is a factor 10 wrong in the reporting of TAN in Table 2.</t>
  </si>
  <si>
    <t xml:space="preserve">Plant 12. Assume that there is a factor 10 wrong in the reporting of TAN in Table 2.</t>
  </si>
  <si>
    <t xml:space="preserve">Plant 13. Assume that there is a factor 10 wrong in the reporting of TAN in Table 2.</t>
  </si>
  <si>
    <t xml:space="preserve">Wu (2007)</t>
  </si>
  <si>
    <t xml:space="preserve">In Results text</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</si>
</sst>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6">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2"/>
      <color theme="1"/>
      <name val="Calibri"/>
      <family val="2"/>
      <charset val="1"/>
    </font>
    <font>
      <b val="true"/>
      <sz val="12"/>
      <color rgb="FF000000"/>
      <name val="Calibri"/>
      <family val="2"/>
      <charset val="1"/>
    </font>
    <font>
      <b val="true"/>
      <sz val="11"/>
      <color theme="1"/>
      <name val="Calibri"/>
      <family val="2"/>
      <charset val="1"/>
    </font>
    <font>
      <b val="true"/>
      <sz val="11"/>
      <color rgb="FF000000"/>
      <name val="Calibri"/>
      <family val="2"/>
      <charset val="1"/>
    </font>
    <font>
      <b val="true"/>
      <sz val="11"/>
      <color rgb="FFFA7D00"/>
      <name val="Calibri"/>
      <family val="2"/>
      <charset val="1"/>
    </font>
    <font>
      <i val="true"/>
      <sz val="11"/>
      <color theme="1"/>
      <name val="Calibri"/>
      <family val="2"/>
      <charset val="1"/>
    </font>
    <font>
      <sz val="11"/>
      <color theme="0" tint="-0.5"/>
      <name val="Calibri"/>
      <family val="2"/>
      <charset val="1"/>
    </font>
    <font>
      <i val="true"/>
      <sz val="11"/>
      <color rgb="FF000000"/>
      <name val="Calibri"/>
      <family val="2"/>
      <charset val="1"/>
    </font>
    <font>
      <i val="true"/>
      <vertAlign val="subscript"/>
      <sz val="11"/>
      <color theme="1"/>
      <name val="Calibri"/>
      <family val="2"/>
      <charset val="1"/>
    </font>
    <font>
      <sz val="11"/>
      <color rgb="FFFF0000"/>
      <name val="Calibri"/>
      <family val="2"/>
      <charset val="1"/>
    </font>
    <font>
      <sz val="11"/>
      <name val="Calibri"/>
      <family val="2"/>
      <charset val="1"/>
    </font>
  </fonts>
  <fills count="6">
    <fill>
      <patternFill patternType="none"/>
    </fill>
    <fill>
      <patternFill patternType="gray125"/>
    </fill>
    <fill>
      <patternFill patternType="solid">
        <fgColor rgb="FFF2F2F2"/>
        <bgColor rgb="FFFFFFCC"/>
      </patternFill>
    </fill>
    <fill>
      <patternFill patternType="solid">
        <fgColor theme="0" tint="-0.15"/>
        <bgColor rgb="FFF2F2F2"/>
      </patternFill>
    </fill>
    <fill>
      <patternFill patternType="solid">
        <fgColor theme="0" tint="-0.25"/>
        <bgColor rgb="FFA6A6A6"/>
      </patternFill>
    </fill>
    <fill>
      <patternFill patternType="solid">
        <fgColor theme="0" tint="-0.35"/>
        <bgColor rgb="FFBFBFBF"/>
      </patternFill>
    </fill>
  </fills>
  <borders count="3">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2" borderId="1" applyFont="true" applyBorder="true" applyAlignment="true" applyProtection="false">
      <alignment horizontal="general" vertical="bottom" textRotation="0" wrapText="false" indent="0" shrinkToFit="false"/>
    </xf>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true" applyAlignment="true" applyProtection="false">
      <alignment horizontal="center" vertical="bottom" textRotation="0" wrapText="false" indent="0" shrinkToFit="false"/>
      <protection locked="true" hidden="false"/>
    </xf>
    <xf numFmtId="164" fontId="6" fillId="5"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5"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2" borderId="0" xfId="20" applyFont="true" applyBorder="true" applyAlignment="true" applyProtection="true">
      <alignment horizontal="general" vertical="bottom" textRotation="0" wrapText="false" indent="0" shrinkToFit="false"/>
      <protection locked="true" hidden="false"/>
    </xf>
    <xf numFmtId="165" fontId="9" fillId="2" borderId="0" xfId="20" applyFont="true" applyBorder="tru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9" fillId="2" borderId="0" xfId="20" applyFont="true" applyBorder="true" applyAlignment="true" applyProtection="tru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tru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5" fillId="5" borderId="0" xfId="0" applyFont="true" applyBorder="true" applyAlignment="true" applyProtection="false">
      <alignment horizontal="center"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true" indent="0" shrinkToFit="false"/>
      <protection locked="true" hidden="false"/>
    </xf>
    <xf numFmtId="165" fontId="9" fillId="2" borderId="0" xfId="20" applyFont="true" applyBorder="true" applyAlignment="true" applyProtection="true">
      <alignment horizontal="right" vertical="bottom" textRotation="0" wrapText="true" indent="0" shrinkToFit="false"/>
      <protection locked="true" hidden="false"/>
    </xf>
    <xf numFmtId="165" fontId="9" fillId="0" borderId="0" xfId="2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Calculation" xfId="20"/>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A7D00"/>
      <rgbColor rgb="FF7F7F7F"/>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223"/>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3" activeCellId="0" sqref="A3"/>
    </sheetView>
  </sheetViews>
  <sheetFormatPr defaultColWidth="8.6796875" defaultRowHeight="15" customHeight="false" zeroHeight="false" outlineLevelRow="0" outlineLevelCol="0"/>
  <cols>
    <col collapsed="false" customWidth="true" hidden="false" outlineLevel="0" max="1" min="1" style="1" width="44.69"/>
    <col collapsed="false" customWidth="true" hidden="false" outlineLevel="0" max="2" min="2" style="2" width="21.85"/>
    <col collapsed="false" customWidth="true" hidden="false" outlineLevel="0" max="3" min="3" style="2" width="10.42"/>
    <col collapsed="false" customWidth="true" hidden="false" outlineLevel="0" max="4" min="4" style="3" width="15.71"/>
    <col collapsed="false" customWidth="true" hidden="false" outlineLevel="0" max="6" min="5" style="3" width="10.42"/>
    <col collapsed="false" customWidth="true" hidden="false" outlineLevel="0" max="7" min="7" style="0" width="24"/>
    <col collapsed="false" customWidth="true" hidden="false" outlineLevel="0" max="8" min="8" style="0" width="13"/>
    <col collapsed="false" customWidth="true" hidden="false" outlineLevel="0" max="9" min="9" style="4" width="9.14"/>
    <col collapsed="false" customWidth="true" hidden="false" outlineLevel="0" max="10" min="10" style="0" width="27.15"/>
    <col collapsed="false" customWidth="true" hidden="false" outlineLevel="0" max="11" min="11" style="0" width="8.57"/>
    <col collapsed="false" customWidth="true" hidden="false" outlineLevel="0" max="12" min="12" style="0" width="13"/>
    <col collapsed="false" customWidth="true" hidden="false" outlineLevel="0" max="13" min="13" style="0" width="16.43"/>
    <col collapsed="false" customWidth="true" hidden="false" outlineLevel="0" max="14" min="14" style="0" width="14.14"/>
    <col collapsed="false" customWidth="true" hidden="false" outlineLevel="0" max="15" min="15" style="5" width="10.71"/>
    <col collapsed="false" customWidth="true" hidden="false" outlineLevel="0" max="16" min="16" style="5" width="9.14"/>
    <col collapsed="false" customWidth="true" hidden="false" outlineLevel="0" max="17" min="17" style="5" width="13.86"/>
    <col collapsed="false" customWidth="true" hidden="false" outlineLevel="0" max="18" min="18" style="0" width="46.15"/>
    <col collapsed="false" customWidth="true" hidden="false" outlineLevel="0" max="19" min="19" style="0" width="17.71"/>
    <col collapsed="false" customWidth="true" hidden="false" outlineLevel="0" max="21" min="21" style="0" width="11.14"/>
    <col collapsed="false" customWidth="true" hidden="false" outlineLevel="0" max="22" min="22" style="0" width="13"/>
    <col collapsed="false" customWidth="true" hidden="false" outlineLevel="0" max="25" min="23" style="0" width="17.57"/>
    <col collapsed="false" customWidth="true" hidden="false" outlineLevel="0" max="26" min="26" style="0" width="173"/>
    <col collapsed="false" customWidth="true" hidden="false" outlineLevel="0" max="27" min="27" style="0" width="255.71"/>
    <col collapsed="false" customWidth="true" hidden="false" outlineLevel="0" max="28" min="28" style="6" width="27.29"/>
    <col collapsed="false" customWidth="true" hidden="false" outlineLevel="0" max="29" min="29" style="0" width="9.57"/>
  </cols>
  <sheetData>
    <row r="1" s="13" customFormat="true" ht="15" hidden="false" customHeight="false" outlineLevel="0" collapsed="false">
      <c r="A1" s="7" t="s">
        <v>0</v>
      </c>
      <c r="B1" s="7"/>
      <c r="C1" s="7"/>
      <c r="D1" s="7"/>
      <c r="E1" s="7"/>
      <c r="F1" s="7"/>
      <c r="G1" s="7"/>
      <c r="H1" s="7"/>
      <c r="I1" s="7"/>
      <c r="J1" s="8" t="s">
        <v>1</v>
      </c>
      <c r="K1" s="8"/>
      <c r="L1" s="8"/>
      <c r="M1" s="8"/>
      <c r="N1" s="8"/>
      <c r="O1" s="7" t="s">
        <v>2</v>
      </c>
      <c r="P1" s="7"/>
      <c r="Q1" s="7"/>
      <c r="R1" s="9" t="s">
        <v>3</v>
      </c>
      <c r="S1" s="9"/>
      <c r="T1" s="9"/>
      <c r="U1" s="9"/>
      <c r="V1" s="9"/>
      <c r="W1" s="10" t="s">
        <v>4</v>
      </c>
      <c r="X1" s="10"/>
      <c r="Y1" s="10"/>
      <c r="Z1" s="10"/>
      <c r="AA1" s="11" t="s">
        <v>5</v>
      </c>
      <c r="AB1" s="12"/>
    </row>
    <row r="2" s="17" customFormat="true" ht="55.2" hidden="false" customHeight="false" outlineLevel="0" collapsed="false">
      <c r="A2" s="14" t="s">
        <v>6</v>
      </c>
      <c r="B2" s="14" t="s">
        <v>7</v>
      </c>
      <c r="C2" s="14" t="s">
        <v>8</v>
      </c>
      <c r="D2" s="15" t="s">
        <v>9</v>
      </c>
      <c r="E2" s="15" t="s">
        <v>10</v>
      </c>
      <c r="F2" s="15" t="s">
        <v>11</v>
      </c>
      <c r="G2" s="16" t="s">
        <v>12</v>
      </c>
      <c r="H2" s="17" t="s">
        <v>13</v>
      </c>
      <c r="I2" s="18" t="s">
        <v>14</v>
      </c>
      <c r="J2" s="17" t="s">
        <v>15</v>
      </c>
      <c r="K2" s="17" t="s">
        <v>16</v>
      </c>
      <c r="L2" s="17" t="s">
        <v>17</v>
      </c>
      <c r="M2" s="17" t="s">
        <v>18</v>
      </c>
      <c r="N2" s="17" t="s">
        <v>19</v>
      </c>
      <c r="O2" s="19" t="s">
        <v>20</v>
      </c>
      <c r="P2" s="19" t="s">
        <v>21</v>
      </c>
      <c r="Q2" s="19" t="s">
        <v>22</v>
      </c>
      <c r="R2" s="17" t="s">
        <v>23</v>
      </c>
      <c r="S2" s="17" t="s">
        <v>24</v>
      </c>
      <c r="T2" s="17" t="s">
        <v>25</v>
      </c>
      <c r="U2" s="17" t="s">
        <v>26</v>
      </c>
      <c r="V2" s="17" t="s">
        <v>27</v>
      </c>
      <c r="W2" s="19" t="s">
        <v>28</v>
      </c>
      <c r="X2" s="19" t="s">
        <v>29</v>
      </c>
      <c r="Y2" s="16" t="s">
        <v>30</v>
      </c>
      <c r="Z2" s="16" t="s">
        <v>31</v>
      </c>
      <c r="AA2" s="16" t="s">
        <v>32</v>
      </c>
    </row>
    <row r="3" s="17" customFormat="true" ht="15" hidden="false" customHeight="false" outlineLevel="0" collapsed="false">
      <c r="A3" s="14" t="s">
        <v>33</v>
      </c>
      <c r="B3" s="14" t="s">
        <v>34</v>
      </c>
      <c r="C3" s="14" t="s">
        <v>35</v>
      </c>
      <c r="D3" s="15" t="s">
        <v>36</v>
      </c>
      <c r="E3" s="15" t="s">
        <v>37</v>
      </c>
      <c r="F3" s="15" t="s">
        <v>38</v>
      </c>
      <c r="G3" s="16" t="s">
        <v>39</v>
      </c>
      <c r="H3" s="17" t="s">
        <v>40</v>
      </c>
      <c r="I3" s="18" t="s">
        <v>41</v>
      </c>
      <c r="J3" s="17" t="s">
        <v>42</v>
      </c>
      <c r="K3" s="17" t="s">
        <v>43</v>
      </c>
      <c r="L3" s="17" t="s">
        <v>44</v>
      </c>
      <c r="M3" s="17" t="s">
        <v>45</v>
      </c>
      <c r="N3" s="17" t="s">
        <v>46</v>
      </c>
      <c r="O3" s="19" t="s">
        <v>47</v>
      </c>
      <c r="P3" s="19" t="s">
        <v>21</v>
      </c>
      <c r="Q3" s="19" t="s">
        <v>48</v>
      </c>
      <c r="R3" s="17" t="s">
        <v>49</v>
      </c>
      <c r="S3" s="17" t="s">
        <v>50</v>
      </c>
      <c r="T3" s="17" t="s">
        <v>51</v>
      </c>
      <c r="U3" s="17" t="s">
        <v>52</v>
      </c>
      <c r="V3" s="17" t="s">
        <v>53</v>
      </c>
      <c r="W3" s="19" t="s">
        <v>54</v>
      </c>
      <c r="X3" s="19" t="s">
        <v>55</v>
      </c>
      <c r="Y3" s="16" t="s">
        <v>56</v>
      </c>
      <c r="Z3" s="16" t="s">
        <v>57</v>
      </c>
      <c r="AA3" s="16" t="s">
        <v>58</v>
      </c>
    </row>
    <row r="4" customFormat="false" ht="15" hidden="false" customHeight="true" outlineLevel="0" collapsed="false">
      <c r="A4" s="1" t="s">
        <v>59</v>
      </c>
      <c r="C4" s="2" t="s">
        <v>60</v>
      </c>
      <c r="D4" s="3" t="s">
        <v>61</v>
      </c>
      <c r="E4" s="3" t="s">
        <v>62</v>
      </c>
      <c r="F4" s="3" t="s">
        <v>62</v>
      </c>
      <c r="G4" s="0" t="s">
        <v>63</v>
      </c>
      <c r="H4" s="0" t="n">
        <v>48</v>
      </c>
      <c r="I4" s="20" t="n">
        <v>1</v>
      </c>
      <c r="J4" s="0" t="s">
        <v>64</v>
      </c>
      <c r="K4" s="0" t="n">
        <v>40</v>
      </c>
      <c r="N4" s="0" t="n">
        <v>0</v>
      </c>
      <c r="O4" s="21" t="n">
        <v>5.7</v>
      </c>
      <c r="P4" s="21" t="n">
        <v>7.8</v>
      </c>
      <c r="Q4" s="21" t="n">
        <v>1.82</v>
      </c>
      <c r="T4" s="0" t="s">
        <v>65</v>
      </c>
      <c r="W4" s="22" t="n">
        <f aca="false">(185.8/1000)/1.82*100</f>
        <v>10.2087912087912</v>
      </c>
      <c r="Y4" s="0" t="s">
        <v>66</v>
      </c>
      <c r="Z4" s="23" t="s">
        <v>67</v>
      </c>
      <c r="AA4" s="0" t="s">
        <v>68</v>
      </c>
    </row>
    <row r="5" customFormat="false" ht="15" hidden="false" customHeight="true" outlineLevel="0" collapsed="false">
      <c r="A5" s="1" t="s">
        <v>59</v>
      </c>
      <c r="B5" s="2" t="s">
        <v>69</v>
      </c>
      <c r="C5" s="2" t="s">
        <v>60</v>
      </c>
      <c r="D5" s="3" t="s">
        <v>61</v>
      </c>
      <c r="E5" s="3" t="s">
        <v>70</v>
      </c>
      <c r="F5" s="3" t="s">
        <v>70</v>
      </c>
      <c r="G5" s="0" t="s">
        <v>63</v>
      </c>
      <c r="H5" s="0" t="n">
        <v>48</v>
      </c>
      <c r="I5" s="20" t="n">
        <v>1</v>
      </c>
      <c r="J5" s="0" t="s">
        <v>64</v>
      </c>
      <c r="K5" s="0" t="n">
        <v>40</v>
      </c>
      <c r="N5" s="0" t="n">
        <v>0</v>
      </c>
      <c r="O5" s="21" t="n">
        <v>4.1</v>
      </c>
      <c r="P5" s="21" t="n">
        <v>7.88</v>
      </c>
      <c r="Q5" s="21" t="n">
        <v>1.73</v>
      </c>
      <c r="T5" s="0" t="s">
        <v>65</v>
      </c>
      <c r="W5" s="22" t="n">
        <f aca="false">(75.8/1000)/1.73*100</f>
        <v>4.38150289017341</v>
      </c>
      <c r="Y5" s="0" t="s">
        <v>66</v>
      </c>
      <c r="Z5" s="23" t="s">
        <v>67</v>
      </c>
      <c r="AA5" s="0" t="s">
        <v>68</v>
      </c>
    </row>
    <row r="6" customFormat="false" ht="15" hidden="false" customHeight="true" outlineLevel="0" collapsed="false">
      <c r="A6" s="1" t="s">
        <v>59</v>
      </c>
      <c r="B6" s="2" t="s">
        <v>69</v>
      </c>
      <c r="C6" s="2" t="s">
        <v>60</v>
      </c>
      <c r="D6" s="3" t="s">
        <v>61</v>
      </c>
      <c r="E6" s="3" t="s">
        <v>71</v>
      </c>
      <c r="F6" s="3" t="s">
        <v>71</v>
      </c>
      <c r="G6" s="0" t="s">
        <v>63</v>
      </c>
      <c r="I6" s="20" t="n">
        <v>1</v>
      </c>
      <c r="K6" s="20"/>
      <c r="N6" s="0" t="n">
        <v>0</v>
      </c>
      <c r="O6" s="21"/>
      <c r="P6" s="21"/>
      <c r="Q6" s="21"/>
      <c r="W6" s="24"/>
    </row>
    <row r="7" customFormat="false" ht="15" hidden="false" customHeight="true" outlineLevel="0" collapsed="false">
      <c r="A7" s="1" t="s">
        <v>72</v>
      </c>
      <c r="C7" s="2" t="s">
        <v>60</v>
      </c>
      <c r="D7" s="3" t="s">
        <v>61</v>
      </c>
      <c r="E7" s="3" t="s">
        <v>62</v>
      </c>
      <c r="F7" s="3" t="s">
        <v>62</v>
      </c>
      <c r="G7" s="0" t="s">
        <v>63</v>
      </c>
      <c r="H7" s="0" t="n">
        <v>70</v>
      </c>
      <c r="I7" s="20" t="n">
        <v>1</v>
      </c>
      <c r="J7" s="0" t="s">
        <v>64</v>
      </c>
      <c r="K7" s="0" t="n">
        <v>35</v>
      </c>
      <c r="M7" s="0" t="n">
        <v>19.1</v>
      </c>
      <c r="N7" s="0" t="n">
        <v>0</v>
      </c>
      <c r="O7" s="21" t="n">
        <v>9</v>
      </c>
      <c r="P7" s="21" t="n">
        <v>6.8</v>
      </c>
      <c r="Q7" s="21" t="n">
        <v>1.9</v>
      </c>
      <c r="R7" s="0" t="s">
        <v>73</v>
      </c>
      <c r="S7" s="0" t="n">
        <v>43</v>
      </c>
      <c r="T7" s="0" t="s">
        <v>65</v>
      </c>
      <c r="U7" s="0" t="n">
        <v>1.05</v>
      </c>
      <c r="W7" s="0" t="n">
        <v>28.7</v>
      </c>
      <c r="Y7" s="0" t="s">
        <v>74</v>
      </c>
      <c r="Z7" s="23" t="s">
        <v>75</v>
      </c>
    </row>
    <row r="8" customFormat="false" ht="15" hidden="false" customHeight="true" outlineLevel="0" collapsed="false">
      <c r="A8" s="1" t="s">
        <v>72</v>
      </c>
      <c r="B8" s="2" t="s">
        <v>69</v>
      </c>
      <c r="C8" s="2" t="s">
        <v>60</v>
      </c>
      <c r="D8" s="3" t="s">
        <v>61</v>
      </c>
      <c r="E8" s="3" t="s">
        <v>70</v>
      </c>
      <c r="F8" s="3" t="s">
        <v>70</v>
      </c>
      <c r="G8" s="0" t="s">
        <v>63</v>
      </c>
      <c r="H8" s="0" t="n">
        <v>70</v>
      </c>
      <c r="I8" s="20" t="n">
        <v>1</v>
      </c>
      <c r="J8" s="0" t="s">
        <v>64</v>
      </c>
      <c r="K8" s="0" t="n">
        <v>35</v>
      </c>
      <c r="M8" s="0" t="n">
        <v>20.1</v>
      </c>
      <c r="N8" s="0" t="n">
        <v>0</v>
      </c>
      <c r="O8" s="21" t="n">
        <v>4.6</v>
      </c>
      <c r="P8" s="21" t="n">
        <v>7.1</v>
      </c>
      <c r="Q8" s="21" t="n">
        <v>2</v>
      </c>
      <c r="R8" s="0" t="s">
        <v>73</v>
      </c>
      <c r="S8" s="0" t="n">
        <v>43</v>
      </c>
      <c r="T8" s="0" t="s">
        <v>65</v>
      </c>
      <c r="U8" s="0" t="n">
        <v>1.05</v>
      </c>
      <c r="W8" s="0" t="n">
        <v>23.1</v>
      </c>
      <c r="Y8" s="0" t="s">
        <v>74</v>
      </c>
      <c r="Z8" s="23" t="s">
        <v>75</v>
      </c>
    </row>
    <row r="9" customFormat="false" ht="15" hidden="false" customHeight="true" outlineLevel="0" collapsed="false">
      <c r="A9" s="1" t="s">
        <v>76</v>
      </c>
      <c r="C9" s="2" t="s">
        <v>60</v>
      </c>
      <c r="D9" s="3" t="s">
        <v>77</v>
      </c>
      <c r="E9" s="3" t="s">
        <v>62</v>
      </c>
      <c r="F9" s="3" t="s">
        <v>62</v>
      </c>
      <c r="G9" s="0" t="s">
        <v>63</v>
      </c>
      <c r="H9" s="0" t="n">
        <v>120</v>
      </c>
      <c r="I9" s="20" t="n">
        <v>1</v>
      </c>
      <c r="J9" s="0" t="s">
        <v>78</v>
      </c>
      <c r="K9" s="25" t="n">
        <f aca="false">70/4.3</f>
        <v>16.2790697674419</v>
      </c>
      <c r="M9" s="20" t="n">
        <v>18.4</v>
      </c>
      <c r="N9" s="0" t="n">
        <v>0</v>
      </c>
      <c r="O9" s="21" t="n">
        <v>3.5</v>
      </c>
      <c r="P9" s="21" t="n">
        <v>7.8</v>
      </c>
      <c r="Q9" s="21" t="n">
        <v>3</v>
      </c>
      <c r="R9" s="0" t="s">
        <v>79</v>
      </c>
      <c r="T9" s="0" t="s">
        <v>65</v>
      </c>
      <c r="W9" s="22" t="n">
        <f aca="false">21/0.7</f>
        <v>30</v>
      </c>
      <c r="Y9" s="0" t="s">
        <v>80</v>
      </c>
      <c r="Z9" s="23" t="s">
        <v>81</v>
      </c>
      <c r="AA9" s="0" t="s">
        <v>82</v>
      </c>
    </row>
    <row r="10" customFormat="false" ht="15" hidden="false" customHeight="true" outlineLevel="0" collapsed="false">
      <c r="A10" s="1" t="s">
        <v>76</v>
      </c>
      <c r="B10" s="2" t="s">
        <v>69</v>
      </c>
      <c r="C10" s="2" t="s">
        <v>60</v>
      </c>
      <c r="D10" s="3" t="s">
        <v>77</v>
      </c>
      <c r="E10" s="3" t="s">
        <v>70</v>
      </c>
      <c r="F10" s="3" t="s">
        <v>70</v>
      </c>
      <c r="G10" s="0" t="s">
        <v>63</v>
      </c>
      <c r="H10" s="0" t="n">
        <v>120</v>
      </c>
      <c r="I10" s="20" t="n">
        <v>1</v>
      </c>
      <c r="J10" s="0" t="s">
        <v>78</v>
      </c>
      <c r="K10" s="25" t="n">
        <f aca="false">70/4</f>
        <v>17.5</v>
      </c>
      <c r="M10" s="20" t="n">
        <v>18.4</v>
      </c>
      <c r="N10" s="0" t="n">
        <v>0</v>
      </c>
      <c r="O10" s="21" t="n">
        <v>2.4</v>
      </c>
      <c r="P10" s="21" t="n">
        <v>8</v>
      </c>
      <c r="Q10" s="21" t="n">
        <v>3</v>
      </c>
      <c r="R10" s="0" t="s">
        <v>79</v>
      </c>
      <c r="T10" s="0" t="s">
        <v>65</v>
      </c>
      <c r="W10" s="22" t="n">
        <f aca="false">14/0.75</f>
        <v>18.6666666666667</v>
      </c>
      <c r="Y10" s="0" t="s">
        <v>80</v>
      </c>
      <c r="Z10" s="23" t="s">
        <v>81</v>
      </c>
      <c r="AA10" s="0" t="s">
        <v>82</v>
      </c>
    </row>
    <row r="11" customFormat="false" ht="15" hidden="false" customHeight="true" outlineLevel="0" collapsed="false">
      <c r="A11" s="1" t="s">
        <v>76</v>
      </c>
      <c r="B11" s="2" t="s">
        <v>69</v>
      </c>
      <c r="C11" s="2" t="s">
        <v>60</v>
      </c>
      <c r="D11" s="3" t="s">
        <v>77</v>
      </c>
      <c r="E11" s="3" t="s">
        <v>71</v>
      </c>
      <c r="F11" s="3" t="s">
        <v>71</v>
      </c>
      <c r="G11" s="0" t="s">
        <v>63</v>
      </c>
      <c r="H11" s="0" t="n">
        <v>120</v>
      </c>
      <c r="I11" s="20" t="n">
        <v>1</v>
      </c>
      <c r="J11" s="0" t="s">
        <v>78</v>
      </c>
      <c r="K11" s="25" t="n">
        <f aca="false">70/7.2</f>
        <v>9.72222222222222</v>
      </c>
      <c r="M11" s="20" t="n">
        <v>18.4</v>
      </c>
      <c r="N11" s="0" t="n">
        <v>0</v>
      </c>
      <c r="O11" s="21" t="n">
        <v>23.2</v>
      </c>
      <c r="P11" s="21" t="n">
        <v>8.4</v>
      </c>
      <c r="Q11" s="21" t="n">
        <v>3.3</v>
      </c>
      <c r="R11" s="0" t="s">
        <v>79</v>
      </c>
      <c r="T11" s="0" t="s">
        <v>65</v>
      </c>
      <c r="W11" s="22" t="n">
        <f aca="false">19/0.45</f>
        <v>42.2222222222222</v>
      </c>
      <c r="Y11" s="0" t="s">
        <v>80</v>
      </c>
      <c r="Z11" s="23" t="s">
        <v>81</v>
      </c>
      <c r="AA11" s="0" t="s">
        <v>82</v>
      </c>
    </row>
    <row r="12" customFormat="false" ht="15" hidden="false" customHeight="true" outlineLevel="0" collapsed="false">
      <c r="A12" s="1" t="s">
        <v>76</v>
      </c>
      <c r="C12" s="2" t="s">
        <v>60</v>
      </c>
      <c r="D12" s="3" t="s">
        <v>77</v>
      </c>
      <c r="E12" s="3" t="s">
        <v>62</v>
      </c>
      <c r="F12" s="3" t="s">
        <v>62</v>
      </c>
      <c r="G12" s="0" t="s">
        <v>63</v>
      </c>
      <c r="H12" s="0" t="n">
        <v>120</v>
      </c>
      <c r="I12" s="20" t="n">
        <v>2</v>
      </c>
      <c r="J12" s="0" t="s">
        <v>78</v>
      </c>
      <c r="K12" s="25" t="n">
        <f aca="false">70/3.6</f>
        <v>19.4444444444444</v>
      </c>
      <c r="M12" s="20" t="n">
        <v>11.4</v>
      </c>
      <c r="N12" s="0" t="n">
        <v>0</v>
      </c>
      <c r="O12" s="21" t="n">
        <v>3.5</v>
      </c>
      <c r="P12" s="21" t="n">
        <v>7.8</v>
      </c>
      <c r="Q12" s="21" t="n">
        <v>2</v>
      </c>
      <c r="R12" s="0" t="s">
        <v>79</v>
      </c>
      <c r="T12" s="0" t="s">
        <v>65</v>
      </c>
      <c r="W12" s="22" t="n">
        <f aca="false">23/0.56</f>
        <v>41.0714285714286</v>
      </c>
      <c r="Y12" s="0" t="s">
        <v>80</v>
      </c>
      <c r="Z12" s="23" t="s">
        <v>81</v>
      </c>
      <c r="AA12" s="0" t="s">
        <v>82</v>
      </c>
    </row>
    <row r="13" customFormat="false" ht="15" hidden="false" customHeight="true" outlineLevel="0" collapsed="false">
      <c r="A13" s="1" t="s">
        <v>76</v>
      </c>
      <c r="B13" s="2" t="s">
        <v>69</v>
      </c>
      <c r="C13" s="2" t="s">
        <v>60</v>
      </c>
      <c r="D13" s="3" t="s">
        <v>77</v>
      </c>
      <c r="E13" s="3" t="s">
        <v>70</v>
      </c>
      <c r="F13" s="3" t="s">
        <v>70</v>
      </c>
      <c r="G13" s="0" t="s">
        <v>63</v>
      </c>
      <c r="H13" s="0" t="n">
        <v>120</v>
      </c>
      <c r="I13" s="20" t="n">
        <v>2</v>
      </c>
      <c r="J13" s="0" t="s">
        <v>78</v>
      </c>
      <c r="K13" s="25" t="n">
        <f aca="false">70/3.2</f>
        <v>21.875</v>
      </c>
      <c r="M13" s="20" t="n">
        <v>11.4</v>
      </c>
      <c r="N13" s="0" t="n">
        <v>0</v>
      </c>
      <c r="O13" s="21" t="n">
        <v>2.1</v>
      </c>
      <c r="P13" s="21" t="n">
        <v>7.8</v>
      </c>
      <c r="Q13" s="21" t="n">
        <v>2.1</v>
      </c>
      <c r="R13" s="0" t="s">
        <v>79</v>
      </c>
      <c r="T13" s="0" t="s">
        <v>65</v>
      </c>
      <c r="W13" s="22" t="n">
        <f aca="false">12/0.66</f>
        <v>18.1818181818182</v>
      </c>
      <c r="Y13" s="0" t="s">
        <v>80</v>
      </c>
      <c r="Z13" s="23" t="s">
        <v>81</v>
      </c>
      <c r="AA13" s="0" t="s">
        <v>82</v>
      </c>
    </row>
    <row r="14" customFormat="false" ht="15" hidden="false" customHeight="true" outlineLevel="0" collapsed="false">
      <c r="A14" s="1" t="s">
        <v>76</v>
      </c>
      <c r="B14" s="2" t="s">
        <v>69</v>
      </c>
      <c r="C14" s="2" t="s">
        <v>60</v>
      </c>
      <c r="D14" s="3" t="s">
        <v>77</v>
      </c>
      <c r="E14" s="3" t="s">
        <v>71</v>
      </c>
      <c r="F14" s="3" t="s">
        <v>71</v>
      </c>
      <c r="G14" s="0" t="s">
        <v>63</v>
      </c>
      <c r="H14" s="0" t="n">
        <v>120</v>
      </c>
      <c r="I14" s="20" t="n">
        <v>2</v>
      </c>
      <c r="J14" s="0" t="s">
        <v>78</v>
      </c>
      <c r="K14" s="25" t="n">
        <f aca="false">70/6.8</f>
        <v>10.2941176470588</v>
      </c>
      <c r="M14" s="20" t="n">
        <v>11.4</v>
      </c>
      <c r="N14" s="0" t="n">
        <v>0</v>
      </c>
      <c r="O14" s="21" t="n">
        <v>28.9</v>
      </c>
      <c r="P14" s="21" t="n">
        <v>8.2</v>
      </c>
      <c r="Q14" s="21" t="n">
        <v>2.5</v>
      </c>
      <c r="R14" s="0" t="s">
        <v>79</v>
      </c>
      <c r="T14" s="0" t="s">
        <v>65</v>
      </c>
      <c r="W14" s="22" t="n">
        <f aca="false">18/0.37</f>
        <v>48.6486486486487</v>
      </c>
      <c r="Y14" s="0" t="s">
        <v>80</v>
      </c>
      <c r="Z14" s="23" t="s">
        <v>81</v>
      </c>
      <c r="AA14" s="0" t="s">
        <v>82</v>
      </c>
    </row>
    <row r="15" customFormat="false" ht="15" hidden="false" customHeight="true" outlineLevel="0" collapsed="false">
      <c r="A15" s="1" t="s">
        <v>83</v>
      </c>
      <c r="C15" s="2" t="s">
        <v>60</v>
      </c>
      <c r="D15" s="3" t="s">
        <v>61</v>
      </c>
      <c r="E15" s="3" t="s">
        <v>62</v>
      </c>
      <c r="F15" s="3" t="s">
        <v>62</v>
      </c>
      <c r="G15" s="0" t="s">
        <v>63</v>
      </c>
      <c r="H15" s="0" t="n">
        <v>120</v>
      </c>
      <c r="I15" s="20" t="n">
        <v>1</v>
      </c>
      <c r="J15" s="0" t="s">
        <v>78</v>
      </c>
      <c r="K15" s="25" t="n">
        <f aca="false">70/3.5</f>
        <v>20</v>
      </c>
      <c r="M15" s="20" t="n">
        <v>27.8</v>
      </c>
      <c r="N15" s="0" t="n">
        <v>0</v>
      </c>
      <c r="O15" s="21" t="n">
        <v>5.7</v>
      </c>
      <c r="P15" s="21" t="n">
        <v>7.6</v>
      </c>
      <c r="Q15" s="21" t="n">
        <v>2.1</v>
      </c>
      <c r="R15" s="0" t="s">
        <v>79</v>
      </c>
      <c r="T15" s="0" t="s">
        <v>65</v>
      </c>
      <c r="W15" s="22" t="n">
        <f aca="false">35.2/0.6</f>
        <v>58.6666666666667</v>
      </c>
      <c r="Y15" s="0" t="s">
        <v>84</v>
      </c>
      <c r="Z15" s="23" t="s">
        <v>81</v>
      </c>
      <c r="AA15" s="0" t="s">
        <v>85</v>
      </c>
    </row>
    <row r="16" customFormat="false" ht="15" hidden="false" customHeight="true" outlineLevel="0" collapsed="false">
      <c r="A16" s="1" t="s">
        <v>83</v>
      </c>
      <c r="B16" s="2" t="s">
        <v>69</v>
      </c>
      <c r="C16" s="2" t="s">
        <v>60</v>
      </c>
      <c r="D16" s="3" t="s">
        <v>61</v>
      </c>
      <c r="E16" s="3" t="s">
        <v>70</v>
      </c>
      <c r="F16" s="3" t="s">
        <v>70</v>
      </c>
      <c r="G16" s="0" t="s">
        <v>63</v>
      </c>
      <c r="H16" s="0" t="n">
        <v>120</v>
      </c>
      <c r="I16" s="20" t="n">
        <v>1</v>
      </c>
      <c r="J16" s="0" t="s">
        <v>78</v>
      </c>
      <c r="K16" s="25" t="n">
        <f aca="false">70/3.3</f>
        <v>21.2121212121212</v>
      </c>
      <c r="M16" s="20" t="n">
        <v>27.8</v>
      </c>
      <c r="N16" s="0" t="n">
        <v>0</v>
      </c>
      <c r="O16" s="21" t="n">
        <v>4.4</v>
      </c>
      <c r="P16" s="21" t="n">
        <v>7.8</v>
      </c>
      <c r="Q16" s="21" t="n">
        <v>2.1</v>
      </c>
      <c r="R16" s="0" t="s">
        <v>79</v>
      </c>
      <c r="T16" s="0" t="s">
        <v>65</v>
      </c>
      <c r="W16" s="22" t="n">
        <f aca="false">32.3/0.64</f>
        <v>50.46875</v>
      </c>
      <c r="Y16" s="0" t="s">
        <v>84</v>
      </c>
      <c r="Z16" s="23" t="s">
        <v>81</v>
      </c>
      <c r="AA16" s="0" t="s">
        <v>85</v>
      </c>
    </row>
    <row r="17" customFormat="false" ht="15" hidden="false" customHeight="true" outlineLevel="0" collapsed="false">
      <c r="A17" s="1" t="s">
        <v>83</v>
      </c>
      <c r="B17" s="2" t="s">
        <v>69</v>
      </c>
      <c r="C17" s="2" t="s">
        <v>60</v>
      </c>
      <c r="D17" s="3" t="s">
        <v>61</v>
      </c>
      <c r="E17" s="3" t="s">
        <v>71</v>
      </c>
      <c r="F17" s="3" t="s">
        <v>71</v>
      </c>
      <c r="G17" s="0" t="s">
        <v>63</v>
      </c>
      <c r="H17" s="0" t="n">
        <v>120</v>
      </c>
      <c r="I17" s="20" t="n">
        <v>1</v>
      </c>
      <c r="J17" s="0" t="s">
        <v>78</v>
      </c>
      <c r="K17" s="25" t="n">
        <f aca="false">70/5.1</f>
        <v>13.7254901960784</v>
      </c>
      <c r="M17" s="20" t="n">
        <v>27.8</v>
      </c>
      <c r="N17" s="0" t="n">
        <v>0</v>
      </c>
      <c r="O17" s="21" t="n">
        <v>22.8</v>
      </c>
      <c r="P17" s="21" t="n">
        <v>8.7</v>
      </c>
      <c r="Q17" s="21" t="n">
        <v>1.8</v>
      </c>
      <c r="R17" s="0" t="s">
        <v>79</v>
      </c>
      <c r="T17" s="0" t="s">
        <v>65</v>
      </c>
      <c r="W17" s="22" t="n">
        <f aca="false">16.9/0.36</f>
        <v>46.9444444444444</v>
      </c>
      <c r="Y17" s="0" t="s">
        <v>84</v>
      </c>
      <c r="Z17" s="23" t="s">
        <v>81</v>
      </c>
      <c r="AA17" s="0" t="s">
        <v>85</v>
      </c>
    </row>
    <row r="18" customFormat="false" ht="15" hidden="false" customHeight="true" outlineLevel="0" collapsed="false">
      <c r="A18" s="1" t="s">
        <v>83</v>
      </c>
      <c r="C18" s="2" t="s">
        <v>60</v>
      </c>
      <c r="D18" s="3" t="s">
        <v>61</v>
      </c>
      <c r="E18" s="3" t="s">
        <v>62</v>
      </c>
      <c r="F18" s="3" t="s">
        <v>62</v>
      </c>
      <c r="G18" s="0" t="s">
        <v>63</v>
      </c>
      <c r="H18" s="0" t="n">
        <v>120</v>
      </c>
      <c r="I18" s="20" t="n">
        <v>2</v>
      </c>
      <c r="J18" s="0" t="s">
        <v>78</v>
      </c>
      <c r="K18" s="25" t="n">
        <f aca="false">70/3.4</f>
        <v>20.5882352941177</v>
      </c>
      <c r="M18" s="20" t="n">
        <v>12.5</v>
      </c>
      <c r="N18" s="0" t="n">
        <v>0</v>
      </c>
      <c r="O18" s="21" t="n">
        <v>7.1</v>
      </c>
      <c r="P18" s="21" t="n">
        <v>7.5</v>
      </c>
      <c r="Q18" s="21" t="n">
        <v>1.5</v>
      </c>
      <c r="R18" s="0" t="s">
        <v>79</v>
      </c>
      <c r="T18" s="0" t="s">
        <v>65</v>
      </c>
      <c r="W18" s="22" t="n">
        <f aca="false">23.2/0.44</f>
        <v>52.7272727272727</v>
      </c>
      <c r="Y18" s="0" t="s">
        <v>84</v>
      </c>
      <c r="Z18" s="23" t="s">
        <v>81</v>
      </c>
      <c r="AA18" s="0" t="s">
        <v>85</v>
      </c>
    </row>
    <row r="19" customFormat="false" ht="15" hidden="false" customHeight="true" outlineLevel="0" collapsed="false">
      <c r="A19" s="1" t="s">
        <v>83</v>
      </c>
      <c r="B19" s="2" t="s">
        <v>69</v>
      </c>
      <c r="C19" s="2" t="s">
        <v>60</v>
      </c>
      <c r="D19" s="3" t="s">
        <v>61</v>
      </c>
      <c r="E19" s="3" t="s">
        <v>70</v>
      </c>
      <c r="F19" s="3" t="s">
        <v>70</v>
      </c>
      <c r="G19" s="0" t="s">
        <v>63</v>
      </c>
      <c r="H19" s="0" t="n">
        <v>120</v>
      </c>
      <c r="I19" s="20" t="n">
        <v>2</v>
      </c>
      <c r="J19" s="0" t="s">
        <v>78</v>
      </c>
      <c r="K19" s="25" t="n">
        <f aca="false">70/3.2</f>
        <v>21.875</v>
      </c>
      <c r="M19" s="20" t="n">
        <v>12.5</v>
      </c>
      <c r="N19" s="0" t="n">
        <v>0</v>
      </c>
      <c r="O19" s="21" t="n">
        <v>4.4</v>
      </c>
      <c r="P19" s="21" t="n">
        <v>7.8</v>
      </c>
      <c r="Q19" s="21" t="n">
        <v>1.7</v>
      </c>
      <c r="R19" s="0" t="s">
        <v>79</v>
      </c>
      <c r="T19" s="0" t="s">
        <v>65</v>
      </c>
      <c r="W19" s="22" t="n">
        <f aca="false">17.5/0.53</f>
        <v>33.0188679245283</v>
      </c>
      <c r="Y19" s="0" t="s">
        <v>84</v>
      </c>
      <c r="Z19" s="23" t="s">
        <v>81</v>
      </c>
      <c r="AA19" s="0" t="s">
        <v>85</v>
      </c>
    </row>
    <row r="20" customFormat="false" ht="15" hidden="false" customHeight="true" outlineLevel="0" collapsed="false">
      <c r="A20" s="1" t="s">
        <v>83</v>
      </c>
      <c r="B20" s="2" t="s">
        <v>69</v>
      </c>
      <c r="C20" s="2" t="s">
        <v>60</v>
      </c>
      <c r="D20" s="3" t="s">
        <v>61</v>
      </c>
      <c r="E20" s="3" t="s">
        <v>71</v>
      </c>
      <c r="F20" s="3" t="s">
        <v>71</v>
      </c>
      <c r="G20" s="0" t="s">
        <v>63</v>
      </c>
      <c r="H20" s="0" t="n">
        <v>120</v>
      </c>
      <c r="I20" s="20" t="n">
        <v>2</v>
      </c>
      <c r="J20" s="0" t="s">
        <v>78</v>
      </c>
      <c r="K20" s="25" t="n">
        <f aca="false">70/4.7</f>
        <v>14.8936170212766</v>
      </c>
      <c r="M20" s="20" t="n">
        <v>12.5</v>
      </c>
      <c r="N20" s="0" t="n">
        <v>0</v>
      </c>
      <c r="O20" s="21" t="n">
        <v>20.9</v>
      </c>
      <c r="P20" s="21" t="n">
        <v>8.2</v>
      </c>
      <c r="Q20" s="21" t="n">
        <v>1.4</v>
      </c>
      <c r="R20" s="0" t="s">
        <v>79</v>
      </c>
      <c r="T20" s="0" t="s">
        <v>65</v>
      </c>
      <c r="W20" s="22" t="n">
        <f aca="false">13.7/0.3</f>
        <v>45.6666666666667</v>
      </c>
      <c r="Y20" s="0" t="s">
        <v>84</v>
      </c>
      <c r="Z20" s="23" t="s">
        <v>81</v>
      </c>
      <c r="AA20" s="0" t="s">
        <v>85</v>
      </c>
    </row>
    <row r="21" customFormat="false" ht="15" hidden="false" customHeight="true" outlineLevel="0" collapsed="false">
      <c r="A21" s="1" t="s">
        <v>86</v>
      </c>
      <c r="C21" s="2" t="s">
        <v>60</v>
      </c>
      <c r="D21" s="3" t="s">
        <v>61</v>
      </c>
      <c r="E21" s="3" t="s">
        <v>62</v>
      </c>
      <c r="F21" s="3" t="s">
        <v>62</v>
      </c>
      <c r="G21" s="0" t="s">
        <v>63</v>
      </c>
      <c r="H21" s="0" t="n">
        <v>264</v>
      </c>
      <c r="I21" s="20" t="n">
        <v>1</v>
      </c>
      <c r="J21" s="0" t="s">
        <v>78</v>
      </c>
      <c r="K21" s="20" t="n">
        <v>100</v>
      </c>
      <c r="N21" s="0" t="n">
        <v>0</v>
      </c>
      <c r="O21" s="21" t="n">
        <v>6.8</v>
      </c>
      <c r="P21" s="21" t="n">
        <v>6.8</v>
      </c>
      <c r="Q21" s="21" t="n">
        <v>1.3</v>
      </c>
      <c r="R21" s="0" t="s">
        <v>87</v>
      </c>
      <c r="T21" s="0" t="s">
        <v>88</v>
      </c>
      <c r="U21" s="0" t="n">
        <v>1.09</v>
      </c>
      <c r="V21" s="0" t="n">
        <v>0.31</v>
      </c>
      <c r="W21" s="0" t="n">
        <v>37.5</v>
      </c>
      <c r="Y21" s="0" t="s">
        <v>84</v>
      </c>
      <c r="Z21" s="0" t="s">
        <v>89</v>
      </c>
      <c r="AA21" s="0" t="s">
        <v>90</v>
      </c>
    </row>
    <row r="22" customFormat="false" ht="15" hidden="false" customHeight="true" outlineLevel="0" collapsed="false">
      <c r="A22" s="1" t="s">
        <v>86</v>
      </c>
      <c r="B22" s="2" t="s">
        <v>91</v>
      </c>
      <c r="C22" s="2" t="s">
        <v>60</v>
      </c>
      <c r="D22" s="3" t="s">
        <v>61</v>
      </c>
      <c r="E22" s="3" t="s">
        <v>70</v>
      </c>
      <c r="F22" s="3" t="s">
        <v>70</v>
      </c>
      <c r="G22" s="0" t="s">
        <v>63</v>
      </c>
      <c r="H22" s="0" t="n">
        <v>264</v>
      </c>
      <c r="I22" s="20" t="n">
        <v>1</v>
      </c>
      <c r="J22" s="0" t="s">
        <v>78</v>
      </c>
      <c r="K22" s="20" t="n">
        <v>120</v>
      </c>
      <c r="N22" s="0" t="n">
        <v>0</v>
      </c>
      <c r="O22" s="21" t="n">
        <v>2.8</v>
      </c>
      <c r="P22" s="21" t="n">
        <v>7</v>
      </c>
      <c r="Q22" s="21" t="n">
        <v>1.2</v>
      </c>
      <c r="R22" s="0" t="s">
        <v>87</v>
      </c>
      <c r="T22" s="0" t="s">
        <v>88</v>
      </c>
      <c r="U22" s="0" t="n">
        <v>1.09</v>
      </c>
      <c r="W22" s="0" t="n">
        <v>39.2</v>
      </c>
      <c r="Y22" s="0" t="s">
        <v>84</v>
      </c>
      <c r="Z22" s="0" t="s">
        <v>89</v>
      </c>
      <c r="AA22" s="0" t="s">
        <v>90</v>
      </c>
    </row>
    <row r="23" customFormat="false" ht="15" hidden="false" customHeight="true" outlineLevel="0" collapsed="false">
      <c r="A23" s="1" t="s">
        <v>86</v>
      </c>
      <c r="C23" s="2" t="s">
        <v>60</v>
      </c>
      <c r="D23" s="3" t="s">
        <v>61</v>
      </c>
      <c r="E23" s="3" t="s">
        <v>62</v>
      </c>
      <c r="F23" s="3" t="s">
        <v>62</v>
      </c>
      <c r="G23" s="0" t="s">
        <v>63</v>
      </c>
      <c r="H23" s="0" t="n">
        <v>264</v>
      </c>
      <c r="I23" s="20" t="n">
        <v>2</v>
      </c>
      <c r="J23" s="0" t="s">
        <v>78</v>
      </c>
      <c r="K23" s="20" t="n">
        <v>104</v>
      </c>
      <c r="N23" s="0" t="n">
        <v>0</v>
      </c>
      <c r="O23" s="21" t="n">
        <v>7.2</v>
      </c>
      <c r="P23" s="21" t="n">
        <v>6.8</v>
      </c>
      <c r="Q23" s="21" t="n">
        <v>1.2</v>
      </c>
      <c r="R23" s="0" t="s">
        <v>87</v>
      </c>
      <c r="T23" s="0" t="s">
        <v>88</v>
      </c>
      <c r="U23" s="0" t="n">
        <v>1.09</v>
      </c>
      <c r="V23" s="0" t="n">
        <v>0.36</v>
      </c>
      <c r="W23" s="0" t="n">
        <v>39.3</v>
      </c>
      <c r="Y23" s="0" t="s">
        <v>84</v>
      </c>
      <c r="Z23" s="0" t="s">
        <v>89</v>
      </c>
      <c r="AA23" s="0" t="s">
        <v>90</v>
      </c>
    </row>
    <row r="24" customFormat="false" ht="15" hidden="false" customHeight="true" outlineLevel="0" collapsed="false">
      <c r="A24" s="1" t="s">
        <v>86</v>
      </c>
      <c r="B24" s="2" t="s">
        <v>91</v>
      </c>
      <c r="C24" s="2" t="s">
        <v>60</v>
      </c>
      <c r="D24" s="3" t="s">
        <v>61</v>
      </c>
      <c r="E24" s="3" t="s">
        <v>70</v>
      </c>
      <c r="F24" s="3" t="s">
        <v>70</v>
      </c>
      <c r="G24" s="0" t="s">
        <v>63</v>
      </c>
      <c r="H24" s="0" t="n">
        <v>264</v>
      </c>
      <c r="I24" s="20" t="n">
        <v>2</v>
      </c>
      <c r="J24" s="0" t="s">
        <v>78</v>
      </c>
      <c r="K24" s="20" t="n">
        <v>126</v>
      </c>
      <c r="N24" s="0" t="n">
        <v>0</v>
      </c>
      <c r="O24" s="21" t="n">
        <v>2.2</v>
      </c>
      <c r="P24" s="21" t="n">
        <v>7.4</v>
      </c>
      <c r="Q24" s="21" t="n">
        <v>1.1</v>
      </c>
      <c r="R24" s="0" t="s">
        <v>87</v>
      </c>
      <c r="T24" s="0" t="s">
        <v>88</v>
      </c>
      <c r="U24" s="0" t="n">
        <v>1.09</v>
      </c>
      <c r="W24" s="0" t="n">
        <v>38</v>
      </c>
      <c r="Y24" s="0" t="s">
        <v>84</v>
      </c>
      <c r="Z24" s="0" t="s">
        <v>89</v>
      </c>
      <c r="AA24" s="0" t="s">
        <v>90</v>
      </c>
    </row>
    <row r="25" customFormat="false" ht="15" hidden="false" customHeight="true" outlineLevel="0" collapsed="false">
      <c r="A25" s="1" t="s">
        <v>86</v>
      </c>
      <c r="C25" s="2" t="s">
        <v>60</v>
      </c>
      <c r="D25" s="3" t="s">
        <v>61</v>
      </c>
      <c r="E25" s="3" t="s">
        <v>62</v>
      </c>
      <c r="F25" s="3" t="s">
        <v>62</v>
      </c>
      <c r="G25" s="0" t="s">
        <v>63</v>
      </c>
      <c r="H25" s="0" t="n">
        <v>264</v>
      </c>
      <c r="I25" s="20" t="n">
        <v>3</v>
      </c>
      <c r="J25" s="0" t="s">
        <v>78</v>
      </c>
      <c r="K25" s="20" t="n">
        <v>109</v>
      </c>
      <c r="N25" s="0" t="n">
        <v>0</v>
      </c>
      <c r="O25" s="21" t="n">
        <v>7</v>
      </c>
      <c r="P25" s="21" t="n">
        <v>7.5</v>
      </c>
      <c r="Q25" s="21" t="n">
        <v>1.1</v>
      </c>
      <c r="R25" s="0" t="s">
        <v>87</v>
      </c>
      <c r="T25" s="0" t="s">
        <v>88</v>
      </c>
      <c r="U25" s="0" t="n">
        <v>1.09</v>
      </c>
      <c r="V25" s="0" t="n">
        <v>0.33</v>
      </c>
      <c r="W25" s="0" t="n">
        <v>36.7</v>
      </c>
      <c r="Y25" s="0" t="s">
        <v>84</v>
      </c>
      <c r="Z25" s="0" t="s">
        <v>89</v>
      </c>
      <c r="AA25" s="0" t="s">
        <v>90</v>
      </c>
    </row>
    <row r="26" customFormat="false" ht="15" hidden="false" customHeight="true" outlineLevel="0" collapsed="false">
      <c r="A26" s="1" t="s">
        <v>86</v>
      </c>
      <c r="B26" s="2" t="s">
        <v>91</v>
      </c>
      <c r="C26" s="2" t="s">
        <v>60</v>
      </c>
      <c r="D26" s="3" t="s">
        <v>61</v>
      </c>
      <c r="E26" s="3" t="s">
        <v>70</v>
      </c>
      <c r="F26" s="3" t="s">
        <v>70</v>
      </c>
      <c r="G26" s="0" t="s">
        <v>63</v>
      </c>
      <c r="H26" s="0" t="n">
        <v>264</v>
      </c>
      <c r="I26" s="20" t="n">
        <v>3</v>
      </c>
      <c r="J26" s="0" t="s">
        <v>78</v>
      </c>
      <c r="K26" s="20" t="n">
        <v>133</v>
      </c>
      <c r="N26" s="0" t="n">
        <v>0</v>
      </c>
      <c r="O26" s="21" t="n">
        <v>1.3</v>
      </c>
      <c r="P26" s="21" t="n">
        <v>8.1</v>
      </c>
      <c r="Q26" s="21" t="n">
        <v>1</v>
      </c>
      <c r="R26" s="0" t="s">
        <v>87</v>
      </c>
      <c r="T26" s="0" t="s">
        <v>88</v>
      </c>
      <c r="U26" s="0" t="n">
        <v>1.09</v>
      </c>
      <c r="W26" s="0" t="n">
        <v>51</v>
      </c>
      <c r="Y26" s="0" t="s">
        <v>84</v>
      </c>
      <c r="Z26" s="0" t="s">
        <v>89</v>
      </c>
      <c r="AA26" s="0" t="s">
        <v>90</v>
      </c>
    </row>
    <row r="27" customFormat="false" ht="15" hidden="false" customHeight="true" outlineLevel="0" collapsed="false">
      <c r="A27" s="1" t="s">
        <v>86</v>
      </c>
      <c r="C27" s="2" t="s">
        <v>60</v>
      </c>
      <c r="D27" s="3" t="s">
        <v>61</v>
      </c>
      <c r="E27" s="3" t="s">
        <v>62</v>
      </c>
      <c r="F27" s="3" t="s">
        <v>62</v>
      </c>
      <c r="G27" s="0" t="s">
        <v>63</v>
      </c>
      <c r="H27" s="0" t="n">
        <v>264</v>
      </c>
      <c r="I27" s="20" t="n">
        <v>4</v>
      </c>
      <c r="J27" s="0" t="s">
        <v>78</v>
      </c>
      <c r="K27" s="20" t="n">
        <v>115</v>
      </c>
      <c r="N27" s="0" t="n">
        <v>0</v>
      </c>
      <c r="O27" s="21" t="n">
        <v>6</v>
      </c>
      <c r="P27" s="21"/>
      <c r="Q27" s="21" t="n">
        <v>1</v>
      </c>
      <c r="R27" s="0" t="s">
        <v>87</v>
      </c>
      <c r="T27" s="0" t="s">
        <v>88</v>
      </c>
      <c r="U27" s="0" t="n">
        <v>1.09</v>
      </c>
      <c r="V27" s="0" t="n">
        <v>0.26</v>
      </c>
      <c r="W27" s="0" t="n">
        <v>37.4</v>
      </c>
      <c r="Y27" s="0" t="s">
        <v>84</v>
      </c>
      <c r="Z27" s="0" t="s">
        <v>89</v>
      </c>
      <c r="AA27" s="0" t="s">
        <v>90</v>
      </c>
    </row>
    <row r="28" customFormat="false" ht="15" hidden="false" customHeight="true" outlineLevel="0" collapsed="false">
      <c r="A28" s="1" t="s">
        <v>86</v>
      </c>
      <c r="B28" s="2" t="s">
        <v>91</v>
      </c>
      <c r="C28" s="2" t="s">
        <v>60</v>
      </c>
      <c r="D28" s="3" t="s">
        <v>61</v>
      </c>
      <c r="E28" s="3" t="s">
        <v>70</v>
      </c>
      <c r="F28" s="3" t="s">
        <v>70</v>
      </c>
      <c r="G28" s="0" t="s">
        <v>63</v>
      </c>
      <c r="H28" s="0" t="n">
        <v>264</v>
      </c>
      <c r="I28" s="20" t="n">
        <v>4</v>
      </c>
      <c r="J28" s="0" t="s">
        <v>78</v>
      </c>
      <c r="K28" s="20" t="n">
        <v>124</v>
      </c>
      <c r="N28" s="0" t="n">
        <v>0</v>
      </c>
      <c r="O28" s="21" t="n">
        <v>2.8</v>
      </c>
      <c r="P28" s="21"/>
      <c r="Q28" s="21" t="n">
        <v>0.9</v>
      </c>
      <c r="R28" s="0" t="s">
        <v>87</v>
      </c>
      <c r="T28" s="0" t="s">
        <v>88</v>
      </c>
      <c r="U28" s="0" t="n">
        <v>1.09</v>
      </c>
      <c r="W28" s="0" t="n">
        <v>39.1</v>
      </c>
      <c r="Y28" s="0" t="s">
        <v>84</v>
      </c>
      <c r="Z28" s="0" t="s">
        <v>89</v>
      </c>
      <c r="AA28" s="0" t="s">
        <v>90</v>
      </c>
    </row>
    <row r="29" customFormat="false" ht="15" hidden="false" customHeight="true" outlineLevel="0" collapsed="false">
      <c r="A29" s="1" t="s">
        <v>86</v>
      </c>
      <c r="C29" s="2" t="s">
        <v>60</v>
      </c>
      <c r="D29" s="3" t="s">
        <v>61</v>
      </c>
      <c r="E29" s="3" t="s">
        <v>62</v>
      </c>
      <c r="F29" s="3" t="s">
        <v>62</v>
      </c>
      <c r="G29" s="0" t="s">
        <v>63</v>
      </c>
      <c r="H29" s="0" t="n">
        <v>264</v>
      </c>
      <c r="I29" s="20" t="n">
        <v>5</v>
      </c>
      <c r="J29" s="0" t="s">
        <v>78</v>
      </c>
      <c r="K29" s="20" t="n">
        <v>120</v>
      </c>
      <c r="N29" s="0" t="n">
        <v>0</v>
      </c>
      <c r="O29" s="21" t="n">
        <v>5.7</v>
      </c>
      <c r="P29" s="21"/>
      <c r="Q29" s="21" t="n">
        <v>1</v>
      </c>
      <c r="R29" s="0" t="s">
        <v>87</v>
      </c>
      <c r="T29" s="0" t="s">
        <v>88</v>
      </c>
      <c r="U29" s="0" t="n">
        <v>1.09</v>
      </c>
      <c r="V29" s="0" t="n">
        <v>0.37</v>
      </c>
      <c r="W29" s="0" t="n">
        <v>39.1</v>
      </c>
      <c r="Y29" s="0" t="s">
        <v>84</v>
      </c>
      <c r="Z29" s="0" t="s">
        <v>89</v>
      </c>
      <c r="AA29" s="0" t="s">
        <v>90</v>
      </c>
    </row>
    <row r="30" customFormat="false" ht="15" hidden="false" customHeight="true" outlineLevel="0" collapsed="false">
      <c r="A30" s="1" t="s">
        <v>86</v>
      </c>
      <c r="B30" s="2" t="s">
        <v>91</v>
      </c>
      <c r="C30" s="2" t="s">
        <v>60</v>
      </c>
      <c r="D30" s="3" t="s">
        <v>61</v>
      </c>
      <c r="E30" s="3" t="s">
        <v>70</v>
      </c>
      <c r="F30" s="3" t="s">
        <v>70</v>
      </c>
      <c r="G30" s="0" t="s">
        <v>63</v>
      </c>
      <c r="H30" s="0" t="n">
        <v>264</v>
      </c>
      <c r="I30" s="20" t="n">
        <v>5</v>
      </c>
      <c r="J30" s="0" t="s">
        <v>78</v>
      </c>
      <c r="K30" s="20" t="n">
        <v>141</v>
      </c>
      <c r="N30" s="0" t="n">
        <v>0</v>
      </c>
      <c r="O30" s="21" t="n">
        <v>2</v>
      </c>
      <c r="P30" s="21"/>
      <c r="Q30" s="21" t="n">
        <v>0.9</v>
      </c>
      <c r="R30" s="0" t="s">
        <v>87</v>
      </c>
      <c r="T30" s="0" t="s">
        <v>88</v>
      </c>
      <c r="U30" s="0" t="n">
        <v>1.09</v>
      </c>
      <c r="W30" s="0" t="n">
        <v>16.3</v>
      </c>
      <c r="Y30" s="0" t="s">
        <v>84</v>
      </c>
      <c r="Z30" s="0" t="s">
        <v>89</v>
      </c>
      <c r="AA30" s="0" t="s">
        <v>90</v>
      </c>
    </row>
    <row r="31" customFormat="false" ht="15" hidden="false" customHeight="true" outlineLevel="0" collapsed="false">
      <c r="A31" s="1" t="s">
        <v>86</v>
      </c>
      <c r="C31" s="2" t="s">
        <v>60</v>
      </c>
      <c r="D31" s="3" t="s">
        <v>61</v>
      </c>
      <c r="E31" s="3" t="s">
        <v>62</v>
      </c>
      <c r="F31" s="3" t="s">
        <v>62</v>
      </c>
      <c r="G31" s="0" t="s">
        <v>63</v>
      </c>
      <c r="H31" s="0" t="n">
        <v>264</v>
      </c>
      <c r="I31" s="20" t="n">
        <v>6</v>
      </c>
      <c r="J31" s="0" t="s">
        <v>78</v>
      </c>
      <c r="K31" s="20" t="n">
        <v>70</v>
      </c>
      <c r="N31" s="0" t="n">
        <v>0</v>
      </c>
      <c r="O31" s="21" t="n">
        <v>4.6</v>
      </c>
      <c r="P31" s="21"/>
      <c r="Q31" s="21" t="n">
        <v>1</v>
      </c>
      <c r="R31" s="0" t="s">
        <v>87</v>
      </c>
      <c r="T31" s="0" t="s">
        <v>88</v>
      </c>
      <c r="U31" s="0" t="n">
        <v>1.09</v>
      </c>
      <c r="V31" s="0" t="n">
        <v>0.33</v>
      </c>
      <c r="W31" s="0" t="n">
        <v>41.9</v>
      </c>
      <c r="Y31" s="0" t="s">
        <v>84</v>
      </c>
      <c r="Z31" s="0" t="s">
        <v>89</v>
      </c>
      <c r="AA31" s="0" t="s">
        <v>90</v>
      </c>
    </row>
    <row r="32" customFormat="false" ht="15" hidden="false" customHeight="true" outlineLevel="0" collapsed="false">
      <c r="A32" s="1" t="s">
        <v>86</v>
      </c>
      <c r="B32" s="2" t="s">
        <v>91</v>
      </c>
      <c r="C32" s="2" t="s">
        <v>60</v>
      </c>
      <c r="D32" s="3" t="s">
        <v>61</v>
      </c>
      <c r="E32" s="3" t="s">
        <v>70</v>
      </c>
      <c r="F32" s="3" t="s">
        <v>70</v>
      </c>
      <c r="G32" s="0" t="s">
        <v>63</v>
      </c>
      <c r="H32" s="0" t="n">
        <v>264</v>
      </c>
      <c r="I32" s="20" t="n">
        <v>6</v>
      </c>
      <c r="J32" s="0" t="s">
        <v>78</v>
      </c>
      <c r="K32" s="20" t="n">
        <v>127</v>
      </c>
      <c r="N32" s="0" t="n">
        <v>0</v>
      </c>
      <c r="O32" s="21" t="n">
        <v>1.3</v>
      </c>
      <c r="P32" s="21"/>
      <c r="Q32" s="21" t="n">
        <v>0.6</v>
      </c>
      <c r="R32" s="0" t="s">
        <v>87</v>
      </c>
      <c r="T32" s="0" t="s">
        <v>88</v>
      </c>
      <c r="U32" s="0" t="n">
        <v>1.09</v>
      </c>
      <c r="W32" s="0" t="n">
        <v>13.4</v>
      </c>
      <c r="Y32" s="0" t="s">
        <v>84</v>
      </c>
      <c r="Z32" s="0" t="s">
        <v>89</v>
      </c>
      <c r="AA32" s="0" t="s">
        <v>90</v>
      </c>
    </row>
    <row r="33" customFormat="false" ht="15" hidden="false" customHeight="true" outlineLevel="0" collapsed="false">
      <c r="A33" s="1" t="s">
        <v>86</v>
      </c>
      <c r="C33" s="2" t="s">
        <v>60</v>
      </c>
      <c r="D33" s="3" t="s">
        <v>61</v>
      </c>
      <c r="E33" s="3" t="s">
        <v>62</v>
      </c>
      <c r="F33" s="3" t="s">
        <v>62</v>
      </c>
      <c r="G33" s="0" t="s">
        <v>63</v>
      </c>
      <c r="H33" s="0" t="n">
        <v>264</v>
      </c>
      <c r="I33" s="20" t="n">
        <v>1</v>
      </c>
      <c r="J33" s="0" t="s">
        <v>92</v>
      </c>
      <c r="K33" s="20" t="n">
        <v>100</v>
      </c>
      <c r="N33" s="0" t="n">
        <v>0</v>
      </c>
      <c r="O33" s="21" t="n">
        <v>6.8</v>
      </c>
      <c r="P33" s="21" t="n">
        <v>6.8</v>
      </c>
      <c r="Q33" s="21" t="n">
        <v>1.3</v>
      </c>
      <c r="R33" s="0" t="s">
        <v>87</v>
      </c>
      <c r="T33" s="0" t="s">
        <v>88</v>
      </c>
      <c r="U33" s="0" t="n">
        <v>1.09</v>
      </c>
      <c r="V33" s="0" t="n">
        <v>0.31</v>
      </c>
      <c r="W33" s="0" t="n">
        <v>24.6</v>
      </c>
      <c r="Y33" s="0" t="s">
        <v>84</v>
      </c>
      <c r="Z33" s="0" t="s">
        <v>89</v>
      </c>
      <c r="AA33" s="0" t="s">
        <v>90</v>
      </c>
    </row>
    <row r="34" customFormat="false" ht="15" hidden="false" customHeight="true" outlineLevel="0" collapsed="false">
      <c r="A34" s="1" t="s">
        <v>86</v>
      </c>
      <c r="B34" s="2" t="s">
        <v>91</v>
      </c>
      <c r="C34" s="2" t="s">
        <v>60</v>
      </c>
      <c r="D34" s="3" t="s">
        <v>61</v>
      </c>
      <c r="E34" s="3" t="s">
        <v>70</v>
      </c>
      <c r="F34" s="3" t="s">
        <v>70</v>
      </c>
      <c r="G34" s="0" t="s">
        <v>63</v>
      </c>
      <c r="H34" s="0" t="n">
        <v>264</v>
      </c>
      <c r="I34" s="20" t="n">
        <v>1</v>
      </c>
      <c r="J34" s="0" t="s">
        <v>92</v>
      </c>
      <c r="K34" s="20" t="n">
        <v>120</v>
      </c>
      <c r="N34" s="0" t="n">
        <v>0</v>
      </c>
      <c r="O34" s="21" t="n">
        <v>2.8</v>
      </c>
      <c r="P34" s="21" t="n">
        <v>7</v>
      </c>
      <c r="Q34" s="21" t="n">
        <v>1.2</v>
      </c>
      <c r="R34" s="0" t="s">
        <v>87</v>
      </c>
      <c r="T34" s="0" t="s">
        <v>88</v>
      </c>
      <c r="U34" s="0" t="n">
        <v>1.09</v>
      </c>
      <c r="V34" s="0" t="n">
        <v>0.31</v>
      </c>
      <c r="W34" s="0" t="n">
        <v>14.9</v>
      </c>
      <c r="Y34" s="0" t="s">
        <v>84</v>
      </c>
      <c r="Z34" s="0" t="s">
        <v>89</v>
      </c>
      <c r="AA34" s="0" t="s">
        <v>90</v>
      </c>
    </row>
    <row r="35" customFormat="false" ht="15" hidden="false" customHeight="true" outlineLevel="0" collapsed="false">
      <c r="A35" s="1" t="s">
        <v>86</v>
      </c>
      <c r="C35" s="2" t="s">
        <v>60</v>
      </c>
      <c r="D35" s="3" t="s">
        <v>61</v>
      </c>
      <c r="E35" s="3" t="s">
        <v>62</v>
      </c>
      <c r="F35" s="3" t="s">
        <v>62</v>
      </c>
      <c r="G35" s="0" t="s">
        <v>63</v>
      </c>
      <c r="H35" s="0" t="n">
        <v>264</v>
      </c>
      <c r="I35" s="20" t="n">
        <v>2</v>
      </c>
      <c r="J35" s="0" t="s">
        <v>92</v>
      </c>
      <c r="K35" s="20" t="n">
        <v>104</v>
      </c>
      <c r="N35" s="0" t="n">
        <v>0</v>
      </c>
      <c r="O35" s="21" t="n">
        <v>7.2</v>
      </c>
      <c r="P35" s="21" t="n">
        <v>6.8</v>
      </c>
      <c r="Q35" s="21" t="n">
        <v>1.2</v>
      </c>
      <c r="R35" s="0" t="s">
        <v>87</v>
      </c>
      <c r="T35" s="0" t="s">
        <v>88</v>
      </c>
      <c r="U35" s="0" t="n">
        <v>1.09</v>
      </c>
      <c r="V35" s="0" t="n">
        <v>0.36</v>
      </c>
      <c r="W35" s="0" t="n">
        <v>24.1</v>
      </c>
      <c r="Y35" s="0" t="s">
        <v>84</v>
      </c>
      <c r="Z35" s="0" t="s">
        <v>89</v>
      </c>
      <c r="AA35" s="0" t="s">
        <v>90</v>
      </c>
    </row>
    <row r="36" customFormat="false" ht="15" hidden="false" customHeight="true" outlineLevel="0" collapsed="false">
      <c r="A36" s="1" t="s">
        <v>86</v>
      </c>
      <c r="B36" s="2" t="s">
        <v>91</v>
      </c>
      <c r="C36" s="2" t="s">
        <v>60</v>
      </c>
      <c r="D36" s="3" t="s">
        <v>61</v>
      </c>
      <c r="E36" s="3" t="s">
        <v>70</v>
      </c>
      <c r="F36" s="3" t="s">
        <v>70</v>
      </c>
      <c r="G36" s="0" t="s">
        <v>63</v>
      </c>
      <c r="H36" s="0" t="n">
        <v>264</v>
      </c>
      <c r="I36" s="20" t="n">
        <v>2</v>
      </c>
      <c r="J36" s="0" t="s">
        <v>92</v>
      </c>
      <c r="K36" s="20" t="n">
        <v>126</v>
      </c>
      <c r="N36" s="0" t="n">
        <v>0</v>
      </c>
      <c r="O36" s="21" t="n">
        <v>2.2</v>
      </c>
      <c r="P36" s="21" t="n">
        <v>7.4</v>
      </c>
      <c r="Q36" s="21" t="n">
        <v>1.1</v>
      </c>
      <c r="R36" s="0" t="s">
        <v>87</v>
      </c>
      <c r="T36" s="0" t="s">
        <v>88</v>
      </c>
      <c r="U36" s="0" t="n">
        <v>1.09</v>
      </c>
      <c r="V36" s="0" t="n">
        <v>0.36</v>
      </c>
      <c r="W36" s="0" t="n">
        <v>17.9</v>
      </c>
      <c r="Y36" s="0" t="s">
        <v>84</v>
      </c>
      <c r="Z36" s="0" t="s">
        <v>89</v>
      </c>
      <c r="AA36" s="0" t="s">
        <v>90</v>
      </c>
    </row>
    <row r="37" customFormat="false" ht="15" hidden="false" customHeight="true" outlineLevel="0" collapsed="false">
      <c r="A37" s="1" t="s">
        <v>86</v>
      </c>
      <c r="C37" s="2" t="s">
        <v>60</v>
      </c>
      <c r="D37" s="3" t="s">
        <v>61</v>
      </c>
      <c r="E37" s="3" t="s">
        <v>62</v>
      </c>
      <c r="F37" s="3" t="s">
        <v>62</v>
      </c>
      <c r="G37" s="0" t="s">
        <v>63</v>
      </c>
      <c r="H37" s="0" t="n">
        <v>264</v>
      </c>
      <c r="I37" s="20" t="n">
        <v>3</v>
      </c>
      <c r="J37" s="0" t="s">
        <v>92</v>
      </c>
      <c r="K37" s="20" t="n">
        <v>109</v>
      </c>
      <c r="N37" s="0" t="n">
        <v>0</v>
      </c>
      <c r="O37" s="21" t="n">
        <v>7</v>
      </c>
      <c r="P37" s="21" t="n">
        <v>7.5</v>
      </c>
      <c r="Q37" s="21" t="n">
        <v>1.1</v>
      </c>
      <c r="R37" s="0" t="s">
        <v>87</v>
      </c>
      <c r="T37" s="0" t="s">
        <v>88</v>
      </c>
      <c r="U37" s="0" t="n">
        <v>1.09</v>
      </c>
      <c r="V37" s="0" t="n">
        <v>0.33</v>
      </c>
      <c r="W37" s="0" t="n">
        <v>25.1</v>
      </c>
      <c r="Y37" s="0" t="s">
        <v>84</v>
      </c>
      <c r="Z37" s="0" t="s">
        <v>89</v>
      </c>
      <c r="AA37" s="0" t="s">
        <v>90</v>
      </c>
    </row>
    <row r="38" customFormat="false" ht="15" hidden="false" customHeight="true" outlineLevel="0" collapsed="false">
      <c r="A38" s="1" t="s">
        <v>86</v>
      </c>
      <c r="B38" s="2" t="s">
        <v>91</v>
      </c>
      <c r="C38" s="2" t="s">
        <v>60</v>
      </c>
      <c r="D38" s="3" t="s">
        <v>61</v>
      </c>
      <c r="E38" s="3" t="s">
        <v>70</v>
      </c>
      <c r="F38" s="3" t="s">
        <v>70</v>
      </c>
      <c r="G38" s="0" t="s">
        <v>63</v>
      </c>
      <c r="H38" s="0" t="n">
        <v>264</v>
      </c>
      <c r="I38" s="20" t="n">
        <v>3</v>
      </c>
      <c r="J38" s="0" t="s">
        <v>92</v>
      </c>
      <c r="K38" s="20" t="n">
        <v>133</v>
      </c>
      <c r="N38" s="0" t="n">
        <v>0</v>
      </c>
      <c r="O38" s="21" t="n">
        <v>1.3</v>
      </c>
      <c r="P38" s="21" t="n">
        <v>8.1</v>
      </c>
      <c r="Q38" s="21" t="n">
        <v>1</v>
      </c>
      <c r="R38" s="0" t="s">
        <v>87</v>
      </c>
      <c r="T38" s="0" t="s">
        <v>88</v>
      </c>
      <c r="U38" s="0" t="n">
        <v>1.09</v>
      </c>
      <c r="V38" s="0" t="n">
        <v>0.33</v>
      </c>
      <c r="W38" s="0" t="n">
        <v>28.2</v>
      </c>
      <c r="Y38" s="0" t="s">
        <v>84</v>
      </c>
      <c r="Z38" s="0" t="s">
        <v>89</v>
      </c>
      <c r="AA38" s="0" t="s">
        <v>90</v>
      </c>
    </row>
    <row r="39" customFormat="false" ht="15" hidden="false" customHeight="true" outlineLevel="0" collapsed="false">
      <c r="A39" s="1" t="s">
        <v>86</v>
      </c>
      <c r="C39" s="2" t="s">
        <v>60</v>
      </c>
      <c r="D39" s="3" t="s">
        <v>61</v>
      </c>
      <c r="E39" s="3" t="s">
        <v>62</v>
      </c>
      <c r="F39" s="3" t="s">
        <v>62</v>
      </c>
      <c r="G39" s="0" t="s">
        <v>63</v>
      </c>
      <c r="H39" s="0" t="n">
        <v>264</v>
      </c>
      <c r="I39" s="20" t="n">
        <v>4</v>
      </c>
      <c r="J39" s="0" t="s">
        <v>92</v>
      </c>
      <c r="K39" s="20" t="n">
        <v>115</v>
      </c>
      <c r="N39" s="0" t="n">
        <v>0</v>
      </c>
      <c r="O39" s="21" t="n">
        <v>6</v>
      </c>
      <c r="P39" s="21"/>
      <c r="Q39" s="21" t="n">
        <v>1</v>
      </c>
      <c r="R39" s="0" t="s">
        <v>87</v>
      </c>
      <c r="T39" s="0" t="s">
        <v>88</v>
      </c>
      <c r="U39" s="0" t="n">
        <v>1.09</v>
      </c>
      <c r="V39" s="0" t="n">
        <v>0.26</v>
      </c>
      <c r="W39" s="0" t="n">
        <v>23.5</v>
      </c>
      <c r="Y39" s="0" t="s">
        <v>84</v>
      </c>
      <c r="Z39" s="0" t="s">
        <v>89</v>
      </c>
      <c r="AA39" s="0" t="s">
        <v>90</v>
      </c>
    </row>
    <row r="40" customFormat="false" ht="15" hidden="false" customHeight="true" outlineLevel="0" collapsed="false">
      <c r="A40" s="1" t="s">
        <v>86</v>
      </c>
      <c r="B40" s="2" t="s">
        <v>91</v>
      </c>
      <c r="C40" s="2" t="s">
        <v>60</v>
      </c>
      <c r="D40" s="3" t="s">
        <v>61</v>
      </c>
      <c r="E40" s="3" t="s">
        <v>70</v>
      </c>
      <c r="F40" s="3" t="s">
        <v>70</v>
      </c>
      <c r="G40" s="0" t="s">
        <v>63</v>
      </c>
      <c r="H40" s="0" t="n">
        <v>264</v>
      </c>
      <c r="I40" s="20" t="n">
        <v>4</v>
      </c>
      <c r="J40" s="0" t="s">
        <v>92</v>
      </c>
      <c r="K40" s="20" t="n">
        <v>124</v>
      </c>
      <c r="N40" s="0" t="n">
        <v>0</v>
      </c>
      <c r="O40" s="21" t="n">
        <v>2.8</v>
      </c>
      <c r="P40" s="21"/>
      <c r="Q40" s="21" t="n">
        <v>0.9</v>
      </c>
      <c r="R40" s="0" t="s">
        <v>87</v>
      </c>
      <c r="T40" s="0" t="s">
        <v>88</v>
      </c>
      <c r="U40" s="0" t="n">
        <v>1.09</v>
      </c>
      <c r="V40" s="0" t="n">
        <v>0.26</v>
      </c>
      <c r="W40" s="0" t="n">
        <v>28.6</v>
      </c>
      <c r="Y40" s="0" t="s">
        <v>84</v>
      </c>
      <c r="Z40" s="0" t="s">
        <v>89</v>
      </c>
      <c r="AA40" s="0" t="s">
        <v>90</v>
      </c>
    </row>
    <row r="41" customFormat="false" ht="15" hidden="false" customHeight="true" outlineLevel="0" collapsed="false">
      <c r="A41" s="1" t="s">
        <v>86</v>
      </c>
      <c r="C41" s="2" t="s">
        <v>60</v>
      </c>
      <c r="D41" s="3" t="s">
        <v>61</v>
      </c>
      <c r="E41" s="3" t="s">
        <v>62</v>
      </c>
      <c r="F41" s="3" t="s">
        <v>62</v>
      </c>
      <c r="G41" s="0" t="s">
        <v>63</v>
      </c>
      <c r="H41" s="0" t="n">
        <v>264</v>
      </c>
      <c r="I41" s="20" t="n">
        <v>5</v>
      </c>
      <c r="J41" s="0" t="s">
        <v>92</v>
      </c>
      <c r="K41" s="20" t="n">
        <v>120</v>
      </c>
      <c r="N41" s="0" t="n">
        <v>0</v>
      </c>
      <c r="O41" s="21" t="n">
        <v>5.7</v>
      </c>
      <c r="P41" s="21"/>
      <c r="Q41" s="21" t="n">
        <v>1</v>
      </c>
      <c r="R41" s="0" t="s">
        <v>87</v>
      </c>
      <c r="T41" s="0" t="s">
        <v>88</v>
      </c>
      <c r="U41" s="0" t="n">
        <v>1.09</v>
      </c>
      <c r="V41" s="0" t="n">
        <v>0.37</v>
      </c>
      <c r="W41" s="0" t="n">
        <v>25.4</v>
      </c>
      <c r="Y41" s="0" t="s">
        <v>84</v>
      </c>
      <c r="Z41" s="0" t="s">
        <v>89</v>
      </c>
      <c r="AA41" s="0" t="s">
        <v>90</v>
      </c>
    </row>
    <row r="42" customFormat="false" ht="15" hidden="false" customHeight="true" outlineLevel="0" collapsed="false">
      <c r="A42" s="1" t="s">
        <v>86</v>
      </c>
      <c r="B42" s="2" t="s">
        <v>91</v>
      </c>
      <c r="C42" s="2" t="s">
        <v>60</v>
      </c>
      <c r="D42" s="3" t="s">
        <v>61</v>
      </c>
      <c r="E42" s="3" t="s">
        <v>70</v>
      </c>
      <c r="F42" s="3" t="s">
        <v>70</v>
      </c>
      <c r="G42" s="0" t="s">
        <v>63</v>
      </c>
      <c r="H42" s="0" t="n">
        <v>264</v>
      </c>
      <c r="I42" s="20" t="n">
        <v>5</v>
      </c>
      <c r="J42" s="0" t="s">
        <v>92</v>
      </c>
      <c r="K42" s="20" t="n">
        <v>141</v>
      </c>
      <c r="N42" s="0" t="n">
        <v>0</v>
      </c>
      <c r="O42" s="21" t="n">
        <v>2</v>
      </c>
      <c r="P42" s="21"/>
      <c r="Q42" s="21" t="n">
        <v>0.9</v>
      </c>
      <c r="R42" s="0" t="s">
        <v>87</v>
      </c>
      <c r="T42" s="0" t="s">
        <v>88</v>
      </c>
      <c r="U42" s="0" t="n">
        <v>1.09</v>
      </c>
      <c r="V42" s="0" t="n">
        <v>0.37</v>
      </c>
      <c r="W42" s="0" t="n">
        <v>10</v>
      </c>
      <c r="Y42" s="0" t="s">
        <v>84</v>
      </c>
      <c r="Z42" s="0" t="s">
        <v>89</v>
      </c>
      <c r="AA42" s="0" t="s">
        <v>90</v>
      </c>
    </row>
    <row r="43" customFormat="false" ht="15" hidden="false" customHeight="true" outlineLevel="0" collapsed="false">
      <c r="A43" s="1" t="s">
        <v>86</v>
      </c>
      <c r="C43" s="2" t="s">
        <v>60</v>
      </c>
      <c r="D43" s="3" t="s">
        <v>61</v>
      </c>
      <c r="E43" s="3" t="s">
        <v>62</v>
      </c>
      <c r="F43" s="3" t="s">
        <v>62</v>
      </c>
      <c r="G43" s="0" t="s">
        <v>63</v>
      </c>
      <c r="H43" s="0" t="n">
        <v>264</v>
      </c>
      <c r="I43" s="20" t="n">
        <v>6</v>
      </c>
      <c r="J43" s="0" t="s">
        <v>92</v>
      </c>
      <c r="K43" s="20" t="n">
        <v>70</v>
      </c>
      <c r="N43" s="0" t="n">
        <v>0</v>
      </c>
      <c r="O43" s="21" t="n">
        <v>4.6</v>
      </c>
      <c r="P43" s="21"/>
      <c r="Q43" s="21" t="n">
        <v>1</v>
      </c>
      <c r="R43" s="0" t="s">
        <v>87</v>
      </c>
      <c r="T43" s="0" t="s">
        <v>88</v>
      </c>
      <c r="U43" s="0" t="n">
        <v>1.09</v>
      </c>
      <c r="V43" s="0" t="n">
        <v>0.33</v>
      </c>
      <c r="W43" s="0" t="n">
        <v>14.7</v>
      </c>
      <c r="Y43" s="0" t="s">
        <v>84</v>
      </c>
      <c r="Z43" s="0" t="s">
        <v>89</v>
      </c>
      <c r="AA43" s="0" t="s">
        <v>90</v>
      </c>
    </row>
    <row r="44" customFormat="false" ht="15" hidden="false" customHeight="true" outlineLevel="0" collapsed="false">
      <c r="A44" s="1" t="s">
        <v>86</v>
      </c>
      <c r="B44" s="2" t="s">
        <v>91</v>
      </c>
      <c r="C44" s="2" t="s">
        <v>60</v>
      </c>
      <c r="D44" s="3" t="s">
        <v>61</v>
      </c>
      <c r="E44" s="3" t="s">
        <v>70</v>
      </c>
      <c r="F44" s="3" t="s">
        <v>70</v>
      </c>
      <c r="G44" s="0" t="s">
        <v>63</v>
      </c>
      <c r="H44" s="0" t="n">
        <v>264</v>
      </c>
      <c r="I44" s="20" t="n">
        <v>6</v>
      </c>
      <c r="J44" s="0" t="s">
        <v>92</v>
      </c>
      <c r="K44" s="20" t="n">
        <v>127</v>
      </c>
      <c r="N44" s="0" t="n">
        <v>0</v>
      </c>
      <c r="O44" s="21" t="n">
        <v>1.3</v>
      </c>
      <c r="P44" s="21"/>
      <c r="Q44" s="21" t="n">
        <v>0.6</v>
      </c>
      <c r="R44" s="0" t="s">
        <v>87</v>
      </c>
      <c r="T44" s="0" t="s">
        <v>88</v>
      </c>
      <c r="U44" s="0" t="n">
        <v>1.09</v>
      </c>
      <c r="V44" s="0" t="n">
        <v>0.33</v>
      </c>
      <c r="W44" s="0" t="n">
        <v>4.3</v>
      </c>
      <c r="Y44" s="0" t="s">
        <v>84</v>
      </c>
      <c r="Z44" s="0" t="s">
        <v>89</v>
      </c>
      <c r="AA44" s="0" t="s">
        <v>90</v>
      </c>
    </row>
    <row r="45" customFormat="false" ht="15" hidden="false" customHeight="true" outlineLevel="0" collapsed="false">
      <c r="A45" s="1" t="s">
        <v>93</v>
      </c>
      <c r="C45" s="2" t="s">
        <v>94</v>
      </c>
      <c r="D45" s="3" t="s">
        <v>77</v>
      </c>
      <c r="E45" s="3" t="s">
        <v>62</v>
      </c>
      <c r="F45" s="3" t="s">
        <v>62</v>
      </c>
      <c r="G45" s="0" t="s">
        <v>63</v>
      </c>
      <c r="H45" s="0" t="n">
        <v>192</v>
      </c>
      <c r="I45" s="20" t="n">
        <v>1</v>
      </c>
      <c r="J45" s="0" t="s">
        <v>78</v>
      </c>
      <c r="K45" s="22" t="n">
        <f aca="false">145.3/5.46</f>
        <v>26.6117216117216</v>
      </c>
      <c r="L45" s="20"/>
      <c r="N45" s="0" t="n">
        <v>0</v>
      </c>
      <c r="O45" s="21" t="n">
        <v>4.58</v>
      </c>
      <c r="P45" s="21" t="n">
        <v>7.4</v>
      </c>
      <c r="Q45" s="21" t="n">
        <v>3.76</v>
      </c>
      <c r="R45" s="0" t="s">
        <v>95</v>
      </c>
      <c r="T45" s="0" t="s">
        <v>65</v>
      </c>
      <c r="U45" s="6"/>
      <c r="V45" s="20"/>
      <c r="W45" s="22" t="n">
        <f aca="false">13.5/(K45*Q45)*100</f>
        <v>13.4918949788406</v>
      </c>
      <c r="Y45" s="0" t="s">
        <v>96</v>
      </c>
      <c r="Z45" s="23" t="s">
        <v>97</v>
      </c>
      <c r="AA45" s="0" t="s">
        <v>98</v>
      </c>
      <c r="AB45" s="26"/>
    </row>
    <row r="46" customFormat="false" ht="15" hidden="false" customHeight="true" outlineLevel="0" collapsed="false">
      <c r="A46" s="1" t="s">
        <v>93</v>
      </c>
      <c r="C46" s="2" t="s">
        <v>94</v>
      </c>
      <c r="D46" s="3" t="s">
        <v>77</v>
      </c>
      <c r="E46" s="3" t="s">
        <v>62</v>
      </c>
      <c r="F46" s="3" t="s">
        <v>62</v>
      </c>
      <c r="G46" s="0" t="s">
        <v>63</v>
      </c>
      <c r="H46" s="0" t="n">
        <v>192</v>
      </c>
      <c r="I46" s="20" t="n">
        <v>2</v>
      </c>
      <c r="J46" s="0" t="s">
        <v>78</v>
      </c>
      <c r="K46" s="22" t="n">
        <f aca="false">145.3/5.46</f>
        <v>26.6117216117216</v>
      </c>
      <c r="L46" s="20"/>
      <c r="N46" s="0" t="n">
        <v>0</v>
      </c>
      <c r="O46" s="21" t="n">
        <v>4.58</v>
      </c>
      <c r="P46" s="21" t="n">
        <v>7.4</v>
      </c>
      <c r="Q46" s="21" t="n">
        <v>3.76</v>
      </c>
      <c r="R46" s="0" t="s">
        <v>95</v>
      </c>
      <c r="T46" s="0" t="s">
        <v>65</v>
      </c>
      <c r="U46" s="6"/>
      <c r="V46" s="20"/>
      <c r="W46" s="22" t="n">
        <f aca="false">19.6/(K46*Q46)*100</f>
        <v>19.5882327100204</v>
      </c>
      <c r="Y46" s="0" t="s">
        <v>96</v>
      </c>
      <c r="Z46" s="23" t="s">
        <v>97</v>
      </c>
      <c r="AA46" s="0" t="s">
        <v>98</v>
      </c>
      <c r="AB46" s="26"/>
    </row>
    <row r="47" customFormat="false" ht="15" hidden="false" customHeight="true" outlineLevel="0" collapsed="false">
      <c r="A47" s="1" t="s">
        <v>93</v>
      </c>
      <c r="C47" s="2" t="s">
        <v>94</v>
      </c>
      <c r="D47" s="3" t="s">
        <v>77</v>
      </c>
      <c r="E47" s="3" t="s">
        <v>62</v>
      </c>
      <c r="F47" s="3" t="s">
        <v>62</v>
      </c>
      <c r="G47" s="0" t="s">
        <v>63</v>
      </c>
      <c r="H47" s="0" t="n">
        <v>192</v>
      </c>
      <c r="I47" s="20" t="n">
        <v>3</v>
      </c>
      <c r="J47" s="0" t="s">
        <v>78</v>
      </c>
      <c r="K47" s="22" t="n">
        <f aca="false">145.3/5.46</f>
        <v>26.6117216117216</v>
      </c>
      <c r="L47" s="20"/>
      <c r="N47" s="0" t="n">
        <v>0</v>
      </c>
      <c r="O47" s="21" t="n">
        <v>4.58</v>
      </c>
      <c r="P47" s="21" t="n">
        <v>7.4</v>
      </c>
      <c r="Q47" s="21" t="n">
        <v>3.76</v>
      </c>
      <c r="R47" s="0" t="s">
        <v>95</v>
      </c>
      <c r="T47" s="0" t="s">
        <v>65</v>
      </c>
      <c r="U47" s="6"/>
      <c r="V47" s="20"/>
      <c r="W47" s="22" t="n">
        <f aca="false">32.7/(K47*Q47)*100</f>
        <v>32.680367837636</v>
      </c>
      <c r="Y47" s="0" t="s">
        <v>96</v>
      </c>
      <c r="Z47" s="23" t="s">
        <v>97</v>
      </c>
      <c r="AA47" s="0" t="s">
        <v>98</v>
      </c>
      <c r="AB47" s="26"/>
    </row>
    <row r="48" customFormat="false" ht="15" hidden="false" customHeight="true" outlineLevel="0" collapsed="false">
      <c r="A48" s="1" t="s">
        <v>93</v>
      </c>
      <c r="B48" s="2" t="s">
        <v>91</v>
      </c>
      <c r="C48" s="2" t="s">
        <v>94</v>
      </c>
      <c r="D48" s="3" t="s">
        <v>77</v>
      </c>
      <c r="E48" s="3" t="s">
        <v>70</v>
      </c>
      <c r="F48" s="3" t="s">
        <v>70</v>
      </c>
      <c r="G48" s="0" t="s">
        <v>63</v>
      </c>
      <c r="H48" s="0" t="n">
        <v>192</v>
      </c>
      <c r="I48" s="20" t="n">
        <v>1</v>
      </c>
      <c r="J48" s="0" t="s">
        <v>78</v>
      </c>
      <c r="K48" s="22" t="n">
        <f aca="false">141.9/5.09</f>
        <v>27.8781925343811</v>
      </c>
      <c r="L48" s="20"/>
      <c r="N48" s="0" t="n">
        <v>0</v>
      </c>
      <c r="O48" s="21" t="n">
        <v>2.59</v>
      </c>
      <c r="P48" s="21" t="n">
        <v>7.6</v>
      </c>
      <c r="Q48" s="21" t="n">
        <v>3.52</v>
      </c>
      <c r="R48" s="0" t="s">
        <v>95</v>
      </c>
      <c r="T48" s="0" t="s">
        <v>65</v>
      </c>
      <c r="U48" s="6"/>
      <c r="V48" s="20"/>
      <c r="W48" s="22" t="n">
        <f aca="false">13.2/(K48*Q48)*100</f>
        <v>13.4513742071882</v>
      </c>
      <c r="Y48" s="0" t="s">
        <v>96</v>
      </c>
      <c r="Z48" s="23" t="s">
        <v>97</v>
      </c>
      <c r="AA48" s="0" t="s">
        <v>98</v>
      </c>
      <c r="AB48" s="26"/>
    </row>
    <row r="49" customFormat="false" ht="15" hidden="false" customHeight="true" outlineLevel="0" collapsed="false">
      <c r="A49" s="1" t="s">
        <v>93</v>
      </c>
      <c r="B49" s="2" t="s">
        <v>91</v>
      </c>
      <c r="C49" s="2" t="s">
        <v>94</v>
      </c>
      <c r="D49" s="3" t="s">
        <v>77</v>
      </c>
      <c r="E49" s="3" t="s">
        <v>70</v>
      </c>
      <c r="F49" s="3" t="s">
        <v>70</v>
      </c>
      <c r="G49" s="0" t="s">
        <v>63</v>
      </c>
      <c r="H49" s="0" t="n">
        <v>192</v>
      </c>
      <c r="I49" s="20" t="n">
        <v>2</v>
      </c>
      <c r="J49" s="0" t="s">
        <v>78</v>
      </c>
      <c r="K49" s="22" t="n">
        <f aca="false">141.9/5.09</f>
        <v>27.8781925343811</v>
      </c>
      <c r="L49" s="20"/>
      <c r="N49" s="0" t="n">
        <v>0</v>
      </c>
      <c r="O49" s="21" t="n">
        <v>2.59</v>
      </c>
      <c r="P49" s="21" t="n">
        <v>7.6</v>
      </c>
      <c r="Q49" s="21" t="n">
        <v>3.52</v>
      </c>
      <c r="R49" s="0" t="s">
        <v>95</v>
      </c>
      <c r="T49" s="0" t="s">
        <v>65</v>
      </c>
      <c r="U49" s="6"/>
      <c r="V49" s="20"/>
      <c r="W49" s="22" t="n">
        <f aca="false">13.4/(K49*Q49)*100</f>
        <v>13.6551829072971</v>
      </c>
      <c r="Y49" s="0" t="s">
        <v>96</v>
      </c>
      <c r="Z49" s="23" t="s">
        <v>97</v>
      </c>
      <c r="AA49" s="0" t="s">
        <v>98</v>
      </c>
      <c r="AB49" s="26"/>
    </row>
    <row r="50" customFormat="false" ht="15" hidden="false" customHeight="true" outlineLevel="0" collapsed="false">
      <c r="A50" s="1" t="s">
        <v>93</v>
      </c>
      <c r="B50" s="2" t="s">
        <v>91</v>
      </c>
      <c r="C50" s="2" t="s">
        <v>94</v>
      </c>
      <c r="D50" s="3" t="s">
        <v>77</v>
      </c>
      <c r="E50" s="3" t="s">
        <v>70</v>
      </c>
      <c r="F50" s="3" t="s">
        <v>70</v>
      </c>
      <c r="G50" s="0" t="s">
        <v>63</v>
      </c>
      <c r="H50" s="0" t="n">
        <v>192</v>
      </c>
      <c r="I50" s="20" t="n">
        <v>3</v>
      </c>
      <c r="J50" s="0" t="s">
        <v>78</v>
      </c>
      <c r="K50" s="22" t="n">
        <f aca="false">141.9/5.09</f>
        <v>27.8781925343811</v>
      </c>
      <c r="L50" s="20"/>
      <c r="N50" s="0" t="n">
        <v>0</v>
      </c>
      <c r="O50" s="21" t="n">
        <v>2.59</v>
      </c>
      <c r="P50" s="21" t="n">
        <v>7.6</v>
      </c>
      <c r="Q50" s="21" t="n">
        <v>3.52</v>
      </c>
      <c r="R50" s="0" t="s">
        <v>95</v>
      </c>
      <c r="T50" s="0" t="s">
        <v>65</v>
      </c>
      <c r="U50" s="6"/>
      <c r="V50" s="20"/>
      <c r="W50" s="22" t="n">
        <f aca="false">26.7/(K50*Q50)*100</f>
        <v>27.2084614645397</v>
      </c>
      <c r="Y50" s="0" t="s">
        <v>96</v>
      </c>
      <c r="Z50" s="23" t="s">
        <v>97</v>
      </c>
      <c r="AA50" s="0" t="s">
        <v>98</v>
      </c>
      <c r="AB50" s="26"/>
    </row>
    <row r="51" customFormat="false" ht="15" hidden="false" customHeight="true" outlineLevel="0" collapsed="false">
      <c r="A51" s="1" t="s">
        <v>93</v>
      </c>
      <c r="C51" s="2" t="s">
        <v>94</v>
      </c>
      <c r="D51" s="3" t="s">
        <v>77</v>
      </c>
      <c r="E51" s="3" t="s">
        <v>62</v>
      </c>
      <c r="F51" s="3" t="s">
        <v>62</v>
      </c>
      <c r="G51" s="0" t="s">
        <v>63</v>
      </c>
      <c r="H51" s="0" t="n">
        <v>192</v>
      </c>
      <c r="I51" s="20" t="n">
        <v>4</v>
      </c>
      <c r="J51" s="0" t="s">
        <v>78</v>
      </c>
      <c r="K51" s="22" t="n">
        <f aca="false">145.3/5.46</f>
        <v>26.6117216117216</v>
      </c>
      <c r="L51" s="20"/>
      <c r="N51" s="0" t="n">
        <v>0</v>
      </c>
      <c r="O51" s="21" t="n">
        <v>4.58</v>
      </c>
      <c r="P51" s="21" t="n">
        <v>7.4</v>
      </c>
      <c r="Q51" s="21" t="n">
        <v>3.76</v>
      </c>
      <c r="R51" s="0" t="s">
        <v>95</v>
      </c>
      <c r="T51" s="0" t="s">
        <v>65</v>
      </c>
      <c r="U51" s="6"/>
      <c r="V51" s="20"/>
      <c r="W51" s="22" t="n">
        <f aca="false">13.5/(K51*Q51)*100</f>
        <v>13.4918949788406</v>
      </c>
      <c r="Y51" s="0" t="s">
        <v>96</v>
      </c>
      <c r="Z51" s="23" t="s">
        <v>97</v>
      </c>
      <c r="AA51" s="0" t="s">
        <v>98</v>
      </c>
      <c r="AB51" s="26"/>
    </row>
    <row r="52" customFormat="false" ht="15" hidden="false" customHeight="true" outlineLevel="0" collapsed="false">
      <c r="A52" s="1" t="s">
        <v>93</v>
      </c>
      <c r="C52" s="2" t="s">
        <v>94</v>
      </c>
      <c r="D52" s="3" t="s">
        <v>77</v>
      </c>
      <c r="E52" s="3" t="s">
        <v>62</v>
      </c>
      <c r="F52" s="3" t="s">
        <v>62</v>
      </c>
      <c r="G52" s="0" t="s">
        <v>63</v>
      </c>
      <c r="H52" s="0" t="n">
        <v>192</v>
      </c>
      <c r="I52" s="20" t="n">
        <v>5</v>
      </c>
      <c r="J52" s="0" t="s">
        <v>78</v>
      </c>
      <c r="K52" s="22" t="n">
        <f aca="false">145.3/5.46</f>
        <v>26.6117216117216</v>
      </c>
      <c r="L52" s="20"/>
      <c r="N52" s="0" t="n">
        <v>0</v>
      </c>
      <c r="O52" s="21" t="n">
        <v>4.58</v>
      </c>
      <c r="P52" s="21" t="n">
        <v>7.4</v>
      </c>
      <c r="Q52" s="21" t="n">
        <v>3.76</v>
      </c>
      <c r="R52" s="0" t="s">
        <v>95</v>
      </c>
      <c r="T52" s="0" t="s">
        <v>65</v>
      </c>
      <c r="U52" s="6"/>
      <c r="V52" s="20"/>
      <c r="W52" s="22" t="n">
        <f aca="false">19.6/(K52*Q52)*100</f>
        <v>19.5882327100204</v>
      </c>
      <c r="Y52" s="0" t="s">
        <v>96</v>
      </c>
      <c r="Z52" s="23" t="s">
        <v>97</v>
      </c>
      <c r="AA52" s="0" t="s">
        <v>98</v>
      </c>
      <c r="AB52" s="26"/>
    </row>
    <row r="53" customFormat="false" ht="15" hidden="false" customHeight="true" outlineLevel="0" collapsed="false">
      <c r="A53" s="1" t="s">
        <v>93</v>
      </c>
      <c r="C53" s="2" t="s">
        <v>94</v>
      </c>
      <c r="D53" s="3" t="s">
        <v>77</v>
      </c>
      <c r="E53" s="3" t="s">
        <v>62</v>
      </c>
      <c r="F53" s="3" t="s">
        <v>62</v>
      </c>
      <c r="G53" s="0" t="s">
        <v>63</v>
      </c>
      <c r="H53" s="0" t="n">
        <v>192</v>
      </c>
      <c r="I53" s="20" t="n">
        <v>6</v>
      </c>
      <c r="J53" s="0" t="s">
        <v>78</v>
      </c>
      <c r="K53" s="22" t="n">
        <f aca="false">145.3/5.46</f>
        <v>26.6117216117216</v>
      </c>
      <c r="L53" s="20"/>
      <c r="N53" s="0" t="n">
        <v>0</v>
      </c>
      <c r="O53" s="21" t="n">
        <v>4.58</v>
      </c>
      <c r="P53" s="21" t="n">
        <v>7.4</v>
      </c>
      <c r="Q53" s="21" t="n">
        <v>3.76</v>
      </c>
      <c r="R53" s="0" t="s">
        <v>95</v>
      </c>
      <c r="T53" s="0" t="s">
        <v>65</v>
      </c>
      <c r="U53" s="6"/>
      <c r="V53" s="20"/>
      <c r="W53" s="22" t="n">
        <f aca="false">32.7/(K53*Q53)*100</f>
        <v>32.680367837636</v>
      </c>
      <c r="Y53" s="0" t="s">
        <v>96</v>
      </c>
      <c r="Z53" s="23" t="s">
        <v>97</v>
      </c>
      <c r="AA53" s="0" t="s">
        <v>98</v>
      </c>
      <c r="AB53" s="26"/>
    </row>
    <row r="54" customFormat="false" ht="15" hidden="false" customHeight="true" outlineLevel="0" collapsed="false">
      <c r="A54" s="1" t="s">
        <v>93</v>
      </c>
      <c r="B54" s="2" t="s">
        <v>99</v>
      </c>
      <c r="C54" s="2" t="s">
        <v>94</v>
      </c>
      <c r="D54" s="3" t="s">
        <v>77</v>
      </c>
      <c r="E54" s="3" t="s">
        <v>70</v>
      </c>
      <c r="F54" s="3" t="s">
        <v>70</v>
      </c>
      <c r="G54" s="0" t="s">
        <v>63</v>
      </c>
      <c r="H54" s="0" t="n">
        <v>192</v>
      </c>
      <c r="I54" s="20" t="n">
        <v>4</v>
      </c>
      <c r="J54" s="0" t="s">
        <v>78</v>
      </c>
      <c r="K54" s="22" t="n">
        <f aca="false">148.7/4.93</f>
        <v>30.1622718052738</v>
      </c>
      <c r="L54" s="20"/>
      <c r="N54" s="0" t="n">
        <v>0</v>
      </c>
      <c r="O54" s="21" t="n">
        <v>3.07</v>
      </c>
      <c r="P54" s="21" t="n">
        <v>7.7</v>
      </c>
      <c r="Q54" s="21" t="n">
        <v>3.15</v>
      </c>
      <c r="R54" s="0" t="s">
        <v>95</v>
      </c>
      <c r="T54" s="0" t="s">
        <v>65</v>
      </c>
      <c r="U54" s="6"/>
      <c r="V54" s="20"/>
      <c r="W54" s="22" t="n">
        <f aca="false">8.6/(K54*Q54)*100</f>
        <v>9.05156862117185</v>
      </c>
      <c r="Y54" s="0" t="s">
        <v>96</v>
      </c>
      <c r="Z54" s="23" t="s">
        <v>97</v>
      </c>
      <c r="AA54" s="0" t="s">
        <v>98</v>
      </c>
      <c r="AB54" s="26"/>
    </row>
    <row r="55" customFormat="false" ht="15" hidden="false" customHeight="true" outlineLevel="0" collapsed="false">
      <c r="A55" s="1" t="s">
        <v>93</v>
      </c>
      <c r="B55" s="2" t="s">
        <v>99</v>
      </c>
      <c r="C55" s="2" t="s">
        <v>94</v>
      </c>
      <c r="D55" s="3" t="s">
        <v>77</v>
      </c>
      <c r="E55" s="3" t="s">
        <v>70</v>
      </c>
      <c r="F55" s="3" t="s">
        <v>70</v>
      </c>
      <c r="G55" s="0" t="s">
        <v>63</v>
      </c>
      <c r="H55" s="0" t="n">
        <v>192</v>
      </c>
      <c r="I55" s="20" t="n">
        <v>5</v>
      </c>
      <c r="J55" s="0" t="s">
        <v>78</v>
      </c>
      <c r="K55" s="22" t="n">
        <f aca="false">148.7/4.93</f>
        <v>30.1622718052738</v>
      </c>
      <c r="L55" s="20"/>
      <c r="N55" s="0" t="n">
        <v>0</v>
      </c>
      <c r="O55" s="21" t="n">
        <v>3.07</v>
      </c>
      <c r="P55" s="21" t="n">
        <v>7.7</v>
      </c>
      <c r="Q55" s="21" t="n">
        <v>3.15</v>
      </c>
      <c r="R55" s="0" t="s">
        <v>95</v>
      </c>
      <c r="T55" s="0" t="s">
        <v>65</v>
      </c>
      <c r="U55" s="6"/>
      <c r="V55" s="20"/>
      <c r="W55" s="22" t="n">
        <f aca="false">12.9/(K55*Q55)*100</f>
        <v>13.5773529317578</v>
      </c>
      <c r="Y55" s="0" t="s">
        <v>96</v>
      </c>
      <c r="Z55" s="23" t="s">
        <v>97</v>
      </c>
      <c r="AA55" s="0" t="s">
        <v>98</v>
      </c>
      <c r="AB55" s="26"/>
    </row>
    <row r="56" customFormat="false" ht="15" hidden="false" customHeight="true" outlineLevel="0" collapsed="false">
      <c r="A56" s="1" t="s">
        <v>93</v>
      </c>
      <c r="B56" s="2" t="s">
        <v>99</v>
      </c>
      <c r="C56" s="2" t="s">
        <v>94</v>
      </c>
      <c r="D56" s="3" t="s">
        <v>77</v>
      </c>
      <c r="E56" s="3" t="s">
        <v>70</v>
      </c>
      <c r="F56" s="3" t="s">
        <v>70</v>
      </c>
      <c r="G56" s="0" t="s">
        <v>63</v>
      </c>
      <c r="H56" s="0" t="n">
        <v>192</v>
      </c>
      <c r="I56" s="20" t="n">
        <v>6</v>
      </c>
      <c r="J56" s="0" t="s">
        <v>78</v>
      </c>
      <c r="K56" s="22" t="n">
        <f aca="false">148.7/4.93</f>
        <v>30.1622718052738</v>
      </c>
      <c r="L56" s="20"/>
      <c r="N56" s="0" t="n">
        <v>0</v>
      </c>
      <c r="O56" s="21" t="n">
        <v>3.07</v>
      </c>
      <c r="P56" s="21" t="n">
        <v>7.7</v>
      </c>
      <c r="Q56" s="21" t="n">
        <v>3.15</v>
      </c>
      <c r="R56" s="0" t="s">
        <v>95</v>
      </c>
      <c r="T56" s="0" t="s">
        <v>65</v>
      </c>
      <c r="U56" s="6"/>
      <c r="V56" s="20"/>
      <c r="W56" s="22" t="n">
        <f aca="false">20.6/(K56*Q56)*100</f>
        <v>21.6816643716442</v>
      </c>
      <c r="Y56" s="0" t="s">
        <v>96</v>
      </c>
      <c r="Z56" s="23" t="s">
        <v>97</v>
      </c>
      <c r="AA56" s="0" t="s">
        <v>98</v>
      </c>
      <c r="AB56" s="26"/>
    </row>
    <row r="57" customFormat="false" ht="15" hidden="false" customHeight="true" outlineLevel="0" collapsed="false">
      <c r="A57" s="1" t="s">
        <v>100</v>
      </c>
      <c r="C57" s="2" t="s">
        <v>94</v>
      </c>
      <c r="D57" s="3" t="s">
        <v>77</v>
      </c>
      <c r="E57" s="3" t="s">
        <v>62</v>
      </c>
      <c r="F57" s="3" t="s">
        <v>62</v>
      </c>
      <c r="G57" s="0" t="s">
        <v>63</v>
      </c>
      <c r="H57" s="0" t="n">
        <v>240</v>
      </c>
      <c r="I57" s="20" t="n">
        <v>1</v>
      </c>
      <c r="J57" s="0" t="s">
        <v>78</v>
      </c>
      <c r="K57" s="27" t="n">
        <v>14</v>
      </c>
      <c r="N57" s="0" t="n">
        <v>0</v>
      </c>
      <c r="O57" s="21" t="n">
        <v>5.2</v>
      </c>
      <c r="P57" s="21" t="n">
        <v>7.4</v>
      </c>
      <c r="Q57" s="21" t="n">
        <v>3.5</v>
      </c>
      <c r="R57" s="0" t="s">
        <v>73</v>
      </c>
      <c r="S57" s="0" t="n">
        <v>27</v>
      </c>
      <c r="T57" s="0" t="s">
        <v>88</v>
      </c>
      <c r="V57" s="0" t="n">
        <v>0.3</v>
      </c>
      <c r="W57" s="28" t="n">
        <v>22.7</v>
      </c>
      <c r="X57" s="28"/>
      <c r="Y57" s="0" t="s">
        <v>101</v>
      </c>
      <c r="Z57" s="23" t="s">
        <v>102</v>
      </c>
    </row>
    <row r="58" customFormat="false" ht="15" hidden="false" customHeight="true" outlineLevel="0" collapsed="false">
      <c r="A58" s="1" t="s">
        <v>100</v>
      </c>
      <c r="B58" s="2" t="s">
        <v>91</v>
      </c>
      <c r="C58" s="2" t="s">
        <v>94</v>
      </c>
      <c r="D58" s="3" t="s">
        <v>77</v>
      </c>
      <c r="E58" s="3" t="s">
        <v>70</v>
      </c>
      <c r="F58" s="3" t="s">
        <v>70</v>
      </c>
      <c r="G58" s="0" t="s">
        <v>63</v>
      </c>
      <c r="H58" s="0" t="n">
        <v>240</v>
      </c>
      <c r="I58" s="20" t="n">
        <v>1</v>
      </c>
      <c r="J58" s="0" t="s">
        <v>78</v>
      </c>
      <c r="K58" s="27" t="n">
        <v>16</v>
      </c>
      <c r="N58" s="0" t="n">
        <v>0</v>
      </c>
      <c r="O58" s="21" t="n">
        <v>2.8</v>
      </c>
      <c r="P58" s="21" t="n">
        <v>7.7</v>
      </c>
      <c r="Q58" s="21" t="n">
        <v>3.7</v>
      </c>
      <c r="R58" s="0" t="s">
        <v>73</v>
      </c>
      <c r="S58" s="0" t="n">
        <v>27</v>
      </c>
      <c r="T58" s="0" t="s">
        <v>88</v>
      </c>
      <c r="V58" s="0" t="n">
        <v>0.3</v>
      </c>
      <c r="W58" s="28" t="n">
        <v>20.5</v>
      </c>
      <c r="X58" s="28"/>
      <c r="Y58" s="0" t="s">
        <v>101</v>
      </c>
      <c r="Z58" s="23" t="s">
        <v>102</v>
      </c>
    </row>
    <row r="59" customFormat="false" ht="15" hidden="false" customHeight="true" outlineLevel="0" collapsed="false">
      <c r="A59" s="1" t="s">
        <v>100</v>
      </c>
      <c r="C59" s="2" t="s">
        <v>94</v>
      </c>
      <c r="D59" s="3" t="s">
        <v>77</v>
      </c>
      <c r="E59" s="3" t="s">
        <v>62</v>
      </c>
      <c r="F59" s="3" t="s">
        <v>62</v>
      </c>
      <c r="G59" s="0" t="s">
        <v>63</v>
      </c>
      <c r="H59" s="0" t="n">
        <v>240</v>
      </c>
      <c r="I59" s="20" t="n">
        <v>7</v>
      </c>
      <c r="J59" s="0" t="s">
        <v>78</v>
      </c>
      <c r="K59" s="27" t="n">
        <v>14</v>
      </c>
      <c r="N59" s="0" t="n">
        <v>0</v>
      </c>
      <c r="O59" s="21" t="n">
        <v>5.2</v>
      </c>
      <c r="P59" s="21" t="n">
        <v>7.4</v>
      </c>
      <c r="Q59" s="21" t="n">
        <v>3.5</v>
      </c>
      <c r="R59" s="0" t="s">
        <v>73</v>
      </c>
      <c r="S59" s="0" t="n">
        <v>27</v>
      </c>
      <c r="T59" s="0" t="s">
        <v>88</v>
      </c>
      <c r="V59" s="0" t="n">
        <v>0.3</v>
      </c>
      <c r="W59" s="28" t="n">
        <v>22.7</v>
      </c>
      <c r="X59" s="28"/>
      <c r="Y59" s="0" t="s">
        <v>101</v>
      </c>
      <c r="Z59" s="23" t="s">
        <v>102</v>
      </c>
    </row>
    <row r="60" customFormat="false" ht="15" hidden="false" customHeight="true" outlineLevel="0" collapsed="false">
      <c r="A60" s="1" t="s">
        <v>100</v>
      </c>
      <c r="B60" s="2" t="s">
        <v>99</v>
      </c>
      <c r="C60" s="2" t="s">
        <v>103</v>
      </c>
      <c r="D60" s="3" t="s">
        <v>77</v>
      </c>
      <c r="E60" s="3" t="s">
        <v>70</v>
      </c>
      <c r="F60" s="3" t="s">
        <v>70</v>
      </c>
      <c r="G60" s="0" t="s">
        <v>63</v>
      </c>
      <c r="H60" s="0" t="n">
        <v>240</v>
      </c>
      <c r="I60" s="20" t="n">
        <v>7</v>
      </c>
      <c r="J60" s="0" t="s">
        <v>78</v>
      </c>
      <c r="K60" s="27" t="n">
        <v>34</v>
      </c>
      <c r="N60" s="0" t="n">
        <v>0</v>
      </c>
      <c r="O60" s="21" t="n">
        <v>1.6</v>
      </c>
      <c r="P60" s="21" t="n">
        <v>8.1</v>
      </c>
      <c r="Q60" s="21" t="n">
        <v>3.2</v>
      </c>
      <c r="R60" s="0" t="s">
        <v>73</v>
      </c>
      <c r="S60" s="0" t="n">
        <v>27</v>
      </c>
      <c r="T60" s="0" t="s">
        <v>88</v>
      </c>
      <c r="V60" s="0" t="n">
        <v>0.3</v>
      </c>
      <c r="W60" s="28" t="n">
        <v>28.9</v>
      </c>
      <c r="X60" s="28"/>
      <c r="Y60" s="0" t="s">
        <v>101</v>
      </c>
      <c r="Z60" s="23" t="s">
        <v>102</v>
      </c>
    </row>
    <row r="61" customFormat="false" ht="15" hidden="false" customHeight="true" outlineLevel="0" collapsed="false">
      <c r="A61" s="1" t="s">
        <v>100</v>
      </c>
      <c r="C61" s="2" t="s">
        <v>103</v>
      </c>
      <c r="D61" s="3" t="s">
        <v>77</v>
      </c>
      <c r="E61" s="3" t="s">
        <v>62</v>
      </c>
      <c r="F61" s="3" t="s">
        <v>62</v>
      </c>
      <c r="G61" s="0" t="s">
        <v>63</v>
      </c>
      <c r="H61" s="0" t="n">
        <v>240</v>
      </c>
      <c r="I61" s="20" t="n">
        <v>2</v>
      </c>
      <c r="J61" s="0" t="s">
        <v>78</v>
      </c>
      <c r="K61" s="27" t="n">
        <v>16</v>
      </c>
      <c r="N61" s="0" t="n">
        <v>0</v>
      </c>
      <c r="O61" s="21" t="n">
        <v>2.6</v>
      </c>
      <c r="P61" s="21" t="n">
        <v>8</v>
      </c>
      <c r="Q61" s="21" t="n">
        <v>3.7</v>
      </c>
      <c r="R61" s="0" t="s">
        <v>73</v>
      </c>
      <c r="S61" s="0" t="n">
        <v>27</v>
      </c>
      <c r="T61" s="0" t="s">
        <v>88</v>
      </c>
      <c r="V61" s="0" t="n">
        <v>0.3</v>
      </c>
      <c r="W61" s="28" t="n">
        <v>22.1</v>
      </c>
      <c r="X61" s="28"/>
      <c r="Y61" s="0" t="s">
        <v>101</v>
      </c>
      <c r="Z61" s="23" t="s">
        <v>102</v>
      </c>
    </row>
    <row r="62" customFormat="false" ht="15" hidden="false" customHeight="true" outlineLevel="0" collapsed="false">
      <c r="A62" s="1" t="s">
        <v>100</v>
      </c>
      <c r="B62" s="2" t="s">
        <v>104</v>
      </c>
      <c r="C62" s="2" t="s">
        <v>103</v>
      </c>
      <c r="D62" s="3" t="s">
        <v>77</v>
      </c>
      <c r="E62" s="3" t="s">
        <v>70</v>
      </c>
      <c r="F62" s="3" t="s">
        <v>70</v>
      </c>
      <c r="G62" s="0" t="s">
        <v>63</v>
      </c>
      <c r="H62" s="0" t="n">
        <v>240</v>
      </c>
      <c r="I62" s="20" t="n">
        <v>2</v>
      </c>
      <c r="J62" s="0" t="s">
        <v>78</v>
      </c>
      <c r="K62" s="27" t="n">
        <v>25</v>
      </c>
      <c r="N62" s="0" t="n">
        <v>0</v>
      </c>
      <c r="O62" s="21" t="n">
        <v>1</v>
      </c>
      <c r="P62" s="21" t="n">
        <v>8.3</v>
      </c>
      <c r="Q62" s="21" t="n">
        <v>2.8</v>
      </c>
      <c r="R62" s="0" t="s">
        <v>73</v>
      </c>
      <c r="S62" s="0" t="n">
        <v>27</v>
      </c>
      <c r="T62" s="0" t="s">
        <v>88</v>
      </c>
      <c r="V62" s="0" t="n">
        <v>0.3</v>
      </c>
      <c r="W62" s="28" t="n">
        <v>22.1</v>
      </c>
      <c r="X62" s="28"/>
      <c r="Y62" s="0" t="s">
        <v>101</v>
      </c>
      <c r="Z62" s="23" t="s">
        <v>102</v>
      </c>
    </row>
    <row r="63" customFormat="false" ht="15" hidden="false" customHeight="true" outlineLevel="0" collapsed="false">
      <c r="A63" s="1" t="s">
        <v>100</v>
      </c>
      <c r="C63" s="2" t="s">
        <v>94</v>
      </c>
      <c r="D63" s="3" t="s">
        <v>77</v>
      </c>
      <c r="E63" s="3" t="s">
        <v>62</v>
      </c>
      <c r="F63" s="3" t="s">
        <v>62</v>
      </c>
      <c r="G63" s="0" t="s">
        <v>63</v>
      </c>
      <c r="H63" s="0" t="n">
        <v>240</v>
      </c>
      <c r="I63" s="20" t="n">
        <v>3</v>
      </c>
      <c r="J63" s="0" t="s">
        <v>78</v>
      </c>
      <c r="K63" s="27" t="n">
        <v>21</v>
      </c>
      <c r="N63" s="0" t="n">
        <v>0</v>
      </c>
      <c r="O63" s="21" t="n">
        <v>7.6</v>
      </c>
      <c r="P63" s="21" t="n">
        <v>7.5</v>
      </c>
      <c r="Q63" s="21" t="n">
        <v>5.3</v>
      </c>
      <c r="R63" s="0" t="s">
        <v>73</v>
      </c>
      <c r="S63" s="0" t="n">
        <v>27</v>
      </c>
      <c r="T63" s="0" t="s">
        <v>88</v>
      </c>
      <c r="V63" s="0" t="n">
        <v>0.3</v>
      </c>
      <c r="W63" s="28" t="n">
        <v>25</v>
      </c>
      <c r="X63" s="28"/>
      <c r="Y63" s="0" t="s">
        <v>101</v>
      </c>
      <c r="Z63" s="23" t="s">
        <v>102</v>
      </c>
    </row>
    <row r="64" customFormat="false" ht="15" hidden="false" customHeight="true" outlineLevel="0" collapsed="false">
      <c r="A64" s="1" t="s">
        <v>100</v>
      </c>
      <c r="B64" s="2" t="s">
        <v>91</v>
      </c>
      <c r="C64" s="2" t="s">
        <v>94</v>
      </c>
      <c r="D64" s="3" t="s">
        <v>77</v>
      </c>
      <c r="E64" s="3" t="s">
        <v>70</v>
      </c>
      <c r="F64" s="3" t="s">
        <v>70</v>
      </c>
      <c r="G64" s="0" t="s">
        <v>63</v>
      </c>
      <c r="H64" s="0" t="n">
        <v>240</v>
      </c>
      <c r="I64" s="20" t="n">
        <v>3</v>
      </c>
      <c r="J64" s="0" t="s">
        <v>78</v>
      </c>
      <c r="K64" s="27" t="n">
        <v>24</v>
      </c>
      <c r="N64" s="0" t="n">
        <v>0</v>
      </c>
      <c r="O64" s="21" t="n">
        <v>4.1</v>
      </c>
      <c r="P64" s="21" t="n">
        <v>7.8</v>
      </c>
      <c r="Q64" s="21" t="n">
        <v>5.1</v>
      </c>
      <c r="R64" s="0" t="s">
        <v>73</v>
      </c>
      <c r="S64" s="0" t="n">
        <v>27</v>
      </c>
      <c r="T64" s="0" t="s">
        <v>88</v>
      </c>
      <c r="V64" s="0" t="n">
        <v>0.3</v>
      </c>
      <c r="W64" s="28" t="n">
        <v>27.8</v>
      </c>
      <c r="X64" s="28"/>
      <c r="Y64" s="0" t="s">
        <v>101</v>
      </c>
      <c r="Z64" s="23" t="s">
        <v>102</v>
      </c>
    </row>
    <row r="65" customFormat="false" ht="15" hidden="false" customHeight="true" outlineLevel="0" collapsed="false">
      <c r="A65" s="1" t="s">
        <v>100</v>
      </c>
      <c r="C65" s="2" t="s">
        <v>94</v>
      </c>
      <c r="D65" s="3" t="s">
        <v>77</v>
      </c>
      <c r="E65" s="3" t="s">
        <v>62</v>
      </c>
      <c r="F65" s="3" t="s">
        <v>62</v>
      </c>
      <c r="G65" s="0" t="s">
        <v>63</v>
      </c>
      <c r="H65" s="0" t="n">
        <v>240</v>
      </c>
      <c r="I65" s="20" t="n">
        <v>8</v>
      </c>
      <c r="J65" s="0" t="s">
        <v>78</v>
      </c>
      <c r="K65" s="27" t="n">
        <v>21</v>
      </c>
      <c r="N65" s="0" t="n">
        <v>0</v>
      </c>
      <c r="O65" s="21" t="n">
        <v>7.6</v>
      </c>
      <c r="P65" s="21" t="n">
        <v>7.5</v>
      </c>
      <c r="Q65" s="21" t="n">
        <v>5.3</v>
      </c>
      <c r="R65" s="0" t="s">
        <v>73</v>
      </c>
      <c r="S65" s="0" t="n">
        <v>27</v>
      </c>
      <c r="T65" s="0" t="s">
        <v>88</v>
      </c>
      <c r="V65" s="0" t="n">
        <v>0.3</v>
      </c>
      <c r="W65" s="28" t="n">
        <v>25</v>
      </c>
      <c r="X65" s="28"/>
      <c r="Y65" s="0" t="s">
        <v>101</v>
      </c>
      <c r="Z65" s="23" t="s">
        <v>102</v>
      </c>
    </row>
    <row r="66" customFormat="false" ht="15" hidden="false" customHeight="true" outlineLevel="0" collapsed="false">
      <c r="A66" s="1" t="s">
        <v>100</v>
      </c>
      <c r="B66" s="2" t="s">
        <v>99</v>
      </c>
      <c r="C66" s="2" t="s">
        <v>103</v>
      </c>
      <c r="D66" s="3" t="s">
        <v>77</v>
      </c>
      <c r="E66" s="3" t="s">
        <v>70</v>
      </c>
      <c r="F66" s="3" t="s">
        <v>70</v>
      </c>
      <c r="G66" s="0" t="s">
        <v>63</v>
      </c>
      <c r="H66" s="0" t="n">
        <v>240</v>
      </c>
      <c r="I66" s="20" t="n">
        <v>8</v>
      </c>
      <c r="J66" s="0" t="s">
        <v>78</v>
      </c>
      <c r="K66" s="27" t="n">
        <v>34</v>
      </c>
      <c r="N66" s="0" t="n">
        <v>0</v>
      </c>
      <c r="O66" s="21" t="n">
        <v>3.2</v>
      </c>
      <c r="P66" s="21" t="n">
        <v>8.1</v>
      </c>
      <c r="Q66" s="21" t="n">
        <v>3.5</v>
      </c>
      <c r="R66" s="0" t="s">
        <v>73</v>
      </c>
      <c r="S66" s="0" t="n">
        <v>27</v>
      </c>
      <c r="T66" s="0" t="s">
        <v>88</v>
      </c>
      <c r="V66" s="0" t="n">
        <v>0.3</v>
      </c>
      <c r="W66" s="28" t="n">
        <v>29</v>
      </c>
      <c r="X66" s="28"/>
      <c r="Y66" s="0" t="s">
        <v>101</v>
      </c>
      <c r="Z66" s="23" t="s">
        <v>102</v>
      </c>
    </row>
    <row r="67" customFormat="false" ht="15" hidden="false" customHeight="true" outlineLevel="0" collapsed="false">
      <c r="A67" s="1" t="s">
        <v>100</v>
      </c>
      <c r="C67" s="2" t="s">
        <v>103</v>
      </c>
      <c r="D67" s="3" t="s">
        <v>77</v>
      </c>
      <c r="E67" s="3" t="s">
        <v>62</v>
      </c>
      <c r="F67" s="3" t="s">
        <v>62</v>
      </c>
      <c r="G67" s="0" t="s">
        <v>63</v>
      </c>
      <c r="H67" s="0" t="n">
        <v>240</v>
      </c>
      <c r="I67" s="20" t="n">
        <v>4</v>
      </c>
      <c r="J67" s="0" t="s">
        <v>78</v>
      </c>
      <c r="K67" s="27" t="n">
        <v>23</v>
      </c>
      <c r="N67" s="0" t="n">
        <v>0</v>
      </c>
      <c r="O67" s="21" t="n">
        <v>4.8</v>
      </c>
      <c r="P67" s="21" t="n">
        <v>8.3</v>
      </c>
      <c r="Q67" s="21" t="n">
        <v>4.9</v>
      </c>
      <c r="R67" s="0" t="s">
        <v>73</v>
      </c>
      <c r="S67" s="0" t="n">
        <v>27</v>
      </c>
      <c r="T67" s="0" t="s">
        <v>88</v>
      </c>
      <c r="V67" s="0" t="n">
        <v>0.3</v>
      </c>
      <c r="W67" s="28" t="n">
        <v>19.6</v>
      </c>
      <c r="X67" s="28"/>
      <c r="Y67" s="0" t="s">
        <v>101</v>
      </c>
      <c r="Z67" s="23" t="s">
        <v>102</v>
      </c>
    </row>
    <row r="68" customFormat="false" ht="15" hidden="false" customHeight="true" outlineLevel="0" collapsed="false">
      <c r="A68" s="1" t="s">
        <v>100</v>
      </c>
      <c r="B68" s="2" t="s">
        <v>104</v>
      </c>
      <c r="C68" s="2" t="s">
        <v>103</v>
      </c>
      <c r="D68" s="3" t="s">
        <v>77</v>
      </c>
      <c r="E68" s="3" t="s">
        <v>70</v>
      </c>
      <c r="F68" s="3" t="s">
        <v>70</v>
      </c>
      <c r="G68" s="0" t="s">
        <v>63</v>
      </c>
      <c r="H68" s="0" t="n">
        <v>240</v>
      </c>
      <c r="I68" s="20" t="n">
        <v>4</v>
      </c>
      <c r="J68" s="0" t="s">
        <v>78</v>
      </c>
      <c r="K68" s="27" t="n">
        <v>28</v>
      </c>
      <c r="N68" s="0" t="n">
        <v>0</v>
      </c>
      <c r="O68" s="21" t="n">
        <v>2.7</v>
      </c>
      <c r="P68" s="21" t="n">
        <v>8.3</v>
      </c>
      <c r="Q68" s="21" t="n">
        <v>4.4</v>
      </c>
      <c r="R68" s="0" t="s">
        <v>73</v>
      </c>
      <c r="S68" s="0" t="n">
        <v>27</v>
      </c>
      <c r="T68" s="0" t="s">
        <v>88</v>
      </c>
      <c r="V68" s="0" t="n">
        <v>0.3</v>
      </c>
      <c r="W68" s="28" t="n">
        <v>19.3</v>
      </c>
      <c r="X68" s="28"/>
      <c r="Y68" s="0" t="s">
        <v>101</v>
      </c>
      <c r="Z68" s="23" t="s">
        <v>102</v>
      </c>
    </row>
    <row r="69" customFormat="false" ht="15" hidden="false" customHeight="true" outlineLevel="0" collapsed="false">
      <c r="A69" s="1" t="s">
        <v>100</v>
      </c>
      <c r="C69" s="2" t="s">
        <v>94</v>
      </c>
      <c r="D69" s="3" t="s">
        <v>77</v>
      </c>
      <c r="E69" s="3" t="s">
        <v>62</v>
      </c>
      <c r="F69" s="3" t="s">
        <v>62</v>
      </c>
      <c r="G69" s="0" t="s">
        <v>63</v>
      </c>
      <c r="H69" s="0" t="n">
        <v>240</v>
      </c>
      <c r="I69" s="20" t="n">
        <v>5</v>
      </c>
      <c r="J69" s="0" t="s">
        <v>78</v>
      </c>
      <c r="K69" s="27" t="n">
        <v>21</v>
      </c>
      <c r="N69" s="0" t="n">
        <v>0</v>
      </c>
      <c r="O69" s="21" t="n">
        <v>5</v>
      </c>
      <c r="P69" s="21" t="n">
        <v>8.7</v>
      </c>
      <c r="Q69" s="21" t="n">
        <v>5.4</v>
      </c>
      <c r="R69" s="0" t="s">
        <v>73</v>
      </c>
      <c r="S69" s="0" t="n">
        <v>27</v>
      </c>
      <c r="T69" s="0" t="s">
        <v>88</v>
      </c>
      <c r="V69" s="0" t="n">
        <v>0.22</v>
      </c>
      <c r="W69" s="28" t="n">
        <v>19.3</v>
      </c>
      <c r="X69" s="28"/>
      <c r="Y69" s="0" t="s">
        <v>101</v>
      </c>
      <c r="Z69" s="23" t="s">
        <v>102</v>
      </c>
    </row>
    <row r="70" customFormat="false" ht="15" hidden="false" customHeight="true" outlineLevel="0" collapsed="false">
      <c r="A70" s="1" t="s">
        <v>100</v>
      </c>
      <c r="B70" s="2" t="s">
        <v>91</v>
      </c>
      <c r="C70" s="2" t="s">
        <v>94</v>
      </c>
      <c r="D70" s="3" t="s">
        <v>77</v>
      </c>
      <c r="E70" s="3" t="s">
        <v>70</v>
      </c>
      <c r="F70" s="3" t="s">
        <v>70</v>
      </c>
      <c r="G70" s="0" t="s">
        <v>63</v>
      </c>
      <c r="H70" s="0" t="n">
        <v>240</v>
      </c>
      <c r="I70" s="20" t="n">
        <v>5</v>
      </c>
      <c r="J70" s="0" t="s">
        <v>78</v>
      </c>
      <c r="K70" s="27" t="n">
        <v>24</v>
      </c>
      <c r="N70" s="0" t="n">
        <v>0</v>
      </c>
      <c r="O70" s="21" t="n">
        <v>1.2</v>
      </c>
      <c r="P70" s="21" t="n">
        <v>8.2</v>
      </c>
      <c r="Q70" s="21" t="n">
        <v>3.4</v>
      </c>
      <c r="R70" s="0" t="s">
        <v>73</v>
      </c>
      <c r="S70" s="0" t="n">
        <v>27</v>
      </c>
      <c r="T70" s="0" t="s">
        <v>88</v>
      </c>
      <c r="V70" s="0" t="n">
        <v>0.22</v>
      </c>
      <c r="W70" s="28" t="n">
        <v>8.7</v>
      </c>
      <c r="X70" s="28"/>
      <c r="Y70" s="0" t="s">
        <v>101</v>
      </c>
      <c r="Z70" s="23" t="s">
        <v>102</v>
      </c>
    </row>
    <row r="71" customFormat="false" ht="15" hidden="false" customHeight="true" outlineLevel="0" collapsed="false">
      <c r="A71" s="1" t="s">
        <v>100</v>
      </c>
      <c r="C71" s="2" t="s">
        <v>94</v>
      </c>
      <c r="D71" s="3" t="s">
        <v>77</v>
      </c>
      <c r="E71" s="3" t="s">
        <v>62</v>
      </c>
      <c r="F71" s="3" t="s">
        <v>62</v>
      </c>
      <c r="G71" s="0" t="s">
        <v>63</v>
      </c>
      <c r="H71" s="0" t="n">
        <v>240</v>
      </c>
      <c r="I71" s="20" t="n">
        <v>9</v>
      </c>
      <c r="J71" s="0" t="s">
        <v>78</v>
      </c>
      <c r="K71" s="27" t="n">
        <v>21</v>
      </c>
      <c r="N71" s="0" t="n">
        <v>0</v>
      </c>
      <c r="O71" s="21" t="n">
        <v>5</v>
      </c>
      <c r="P71" s="21" t="n">
        <v>8.7</v>
      </c>
      <c r="Q71" s="21" t="n">
        <v>5.4</v>
      </c>
      <c r="R71" s="0" t="s">
        <v>73</v>
      </c>
      <c r="S71" s="0" t="n">
        <v>27</v>
      </c>
      <c r="T71" s="0" t="s">
        <v>88</v>
      </c>
      <c r="V71" s="0" t="n">
        <v>0.22</v>
      </c>
      <c r="W71" s="28" t="n">
        <v>19.3</v>
      </c>
      <c r="X71" s="28"/>
      <c r="Y71" s="0" t="s">
        <v>101</v>
      </c>
      <c r="Z71" s="23" t="s">
        <v>102</v>
      </c>
    </row>
    <row r="72" customFormat="false" ht="15" hidden="false" customHeight="true" outlineLevel="0" collapsed="false">
      <c r="A72" s="1" t="s">
        <v>100</v>
      </c>
      <c r="B72" s="2" t="s">
        <v>99</v>
      </c>
      <c r="C72" s="2" t="s">
        <v>103</v>
      </c>
      <c r="D72" s="3" t="s">
        <v>77</v>
      </c>
      <c r="E72" s="3" t="s">
        <v>70</v>
      </c>
      <c r="F72" s="3" t="s">
        <v>70</v>
      </c>
      <c r="G72" s="0" t="s">
        <v>63</v>
      </c>
      <c r="H72" s="0" t="n">
        <v>240</v>
      </c>
      <c r="I72" s="20" t="n">
        <v>9</v>
      </c>
      <c r="J72" s="0" t="s">
        <v>78</v>
      </c>
      <c r="K72" s="27" t="n">
        <v>34</v>
      </c>
      <c r="N72" s="0" t="n">
        <v>0</v>
      </c>
      <c r="O72" s="21" t="n">
        <v>1.3</v>
      </c>
      <c r="P72" s="21" t="n">
        <v>8.4</v>
      </c>
      <c r="Q72" s="21" t="n">
        <v>3.5</v>
      </c>
      <c r="R72" s="0" t="s">
        <v>73</v>
      </c>
      <c r="S72" s="0" t="n">
        <v>27</v>
      </c>
      <c r="T72" s="0" t="s">
        <v>88</v>
      </c>
      <c r="V72" s="0" t="n">
        <v>0.22</v>
      </c>
      <c r="W72" s="28" t="n">
        <v>12.4</v>
      </c>
      <c r="X72" s="28"/>
      <c r="Y72" s="0" t="s">
        <v>101</v>
      </c>
      <c r="Z72" s="23" t="s">
        <v>102</v>
      </c>
    </row>
    <row r="73" customFormat="false" ht="15" hidden="false" customHeight="true" outlineLevel="0" collapsed="false">
      <c r="A73" s="1" t="s">
        <v>100</v>
      </c>
      <c r="C73" s="2" t="s">
        <v>103</v>
      </c>
      <c r="D73" s="3" t="s">
        <v>77</v>
      </c>
      <c r="E73" s="3" t="s">
        <v>62</v>
      </c>
      <c r="F73" s="3" t="s">
        <v>62</v>
      </c>
      <c r="G73" s="0" t="s">
        <v>63</v>
      </c>
      <c r="H73" s="0" t="n">
        <v>240</v>
      </c>
      <c r="I73" s="20" t="n">
        <v>6</v>
      </c>
      <c r="J73" s="0" t="s">
        <v>78</v>
      </c>
      <c r="K73" s="27" t="n">
        <v>24</v>
      </c>
      <c r="N73" s="0" t="n">
        <v>0</v>
      </c>
      <c r="O73" s="21" t="n">
        <v>2.6</v>
      </c>
      <c r="P73" s="21" t="n">
        <v>8.8</v>
      </c>
      <c r="Q73" s="21" t="n">
        <v>5.6</v>
      </c>
      <c r="R73" s="0" t="s">
        <v>73</v>
      </c>
      <c r="S73" s="0" t="n">
        <v>27</v>
      </c>
      <c r="T73" s="0" t="s">
        <v>88</v>
      </c>
      <c r="V73" s="0" t="n">
        <v>0.22</v>
      </c>
      <c r="W73" s="28" t="n">
        <v>12.6</v>
      </c>
      <c r="X73" s="28"/>
      <c r="Y73" s="0" t="s">
        <v>101</v>
      </c>
      <c r="Z73" s="23" t="s">
        <v>102</v>
      </c>
    </row>
    <row r="74" customFormat="false" ht="15" hidden="false" customHeight="true" outlineLevel="0" collapsed="false">
      <c r="A74" s="1" t="s">
        <v>100</v>
      </c>
      <c r="B74" s="2" t="s">
        <v>104</v>
      </c>
      <c r="C74" s="2" t="s">
        <v>103</v>
      </c>
      <c r="D74" s="3" t="s">
        <v>77</v>
      </c>
      <c r="E74" s="3" t="s">
        <v>70</v>
      </c>
      <c r="F74" s="3" t="s">
        <v>70</v>
      </c>
      <c r="G74" s="0" t="s">
        <v>63</v>
      </c>
      <c r="H74" s="0" t="n">
        <v>240</v>
      </c>
      <c r="I74" s="20" t="n">
        <v>6</v>
      </c>
      <c r="J74" s="0" t="s">
        <v>78</v>
      </c>
      <c r="K74" s="27" t="n">
        <v>30</v>
      </c>
      <c r="N74" s="0" t="n">
        <v>0</v>
      </c>
      <c r="O74" s="21" t="n">
        <v>1.2</v>
      </c>
      <c r="P74" s="21" t="n">
        <v>9</v>
      </c>
      <c r="Q74" s="21" t="n">
        <v>4.7</v>
      </c>
      <c r="R74" s="0" t="s">
        <v>73</v>
      </c>
      <c r="S74" s="0" t="n">
        <v>27</v>
      </c>
      <c r="T74" s="0" t="s">
        <v>88</v>
      </c>
      <c r="V74" s="0" t="n">
        <v>0.22</v>
      </c>
      <c r="W74" s="28" t="n">
        <v>17.6</v>
      </c>
      <c r="X74" s="28"/>
      <c r="Y74" s="0" t="s">
        <v>101</v>
      </c>
      <c r="Z74" s="23" t="s">
        <v>102</v>
      </c>
    </row>
    <row r="75" customFormat="false" ht="15" hidden="false" customHeight="true" outlineLevel="0" collapsed="false">
      <c r="A75" s="1" t="s">
        <v>105</v>
      </c>
      <c r="C75" s="2" t="s">
        <v>106</v>
      </c>
      <c r="D75" s="3" t="s">
        <v>61</v>
      </c>
      <c r="E75" s="3" t="s">
        <v>62</v>
      </c>
      <c r="F75" s="3" t="s">
        <v>62</v>
      </c>
      <c r="G75" s="0" t="s">
        <v>106</v>
      </c>
      <c r="H75" s="0" t="n">
        <v>168</v>
      </c>
      <c r="I75" s="20" t="n">
        <v>1</v>
      </c>
      <c r="J75" s="0" t="s">
        <v>78</v>
      </c>
      <c r="K75" s="27" t="n">
        <f aca="false">70/1.4</f>
        <v>50</v>
      </c>
      <c r="L75" s="0" t="n">
        <v>10</v>
      </c>
      <c r="M75" s="0" t="n">
        <v>10</v>
      </c>
      <c r="N75" s="0" t="n">
        <v>0</v>
      </c>
      <c r="O75" s="21" t="n">
        <v>7.7</v>
      </c>
      <c r="P75" s="21" t="n">
        <v>6.8</v>
      </c>
      <c r="Q75" s="21" t="n">
        <v>1.4</v>
      </c>
      <c r="R75" s="0" t="s">
        <v>79</v>
      </c>
      <c r="S75" s="0" t="n">
        <v>2</v>
      </c>
      <c r="T75" s="0" t="s">
        <v>88</v>
      </c>
      <c r="U75" s="0" t="n">
        <v>1.16</v>
      </c>
      <c r="V75" s="0" t="n">
        <v>0.1</v>
      </c>
      <c r="W75" s="28" t="n">
        <v>14</v>
      </c>
      <c r="X75" s="28"/>
      <c r="Y75" s="0" t="s">
        <v>107</v>
      </c>
      <c r="Z75" s="23" t="s">
        <v>108</v>
      </c>
      <c r="AA75" s="4"/>
      <c r="AB75" s="26"/>
    </row>
    <row r="76" customFormat="false" ht="15" hidden="false" customHeight="true" outlineLevel="0" collapsed="false">
      <c r="A76" s="1" t="s">
        <v>105</v>
      </c>
      <c r="B76" s="2" t="s">
        <v>109</v>
      </c>
      <c r="C76" s="2" t="s">
        <v>106</v>
      </c>
      <c r="D76" s="3" t="s">
        <v>61</v>
      </c>
      <c r="E76" s="3" t="s">
        <v>70</v>
      </c>
      <c r="F76" s="3" t="s">
        <v>70</v>
      </c>
      <c r="G76" s="0" t="s">
        <v>106</v>
      </c>
      <c r="H76" s="0" t="n">
        <v>168</v>
      </c>
      <c r="I76" s="20" t="n">
        <v>1</v>
      </c>
      <c r="J76" s="0" t="s">
        <v>78</v>
      </c>
      <c r="K76" s="27" t="n">
        <v>50</v>
      </c>
      <c r="L76" s="0" t="n">
        <v>10</v>
      </c>
      <c r="M76" s="0" t="n">
        <v>10</v>
      </c>
      <c r="N76" s="0" t="n">
        <v>0</v>
      </c>
      <c r="O76" s="21" t="n">
        <v>5</v>
      </c>
      <c r="P76" s="21" t="n">
        <v>7</v>
      </c>
      <c r="Q76" s="21" t="n">
        <v>1.4</v>
      </c>
      <c r="R76" s="0" t="s">
        <v>79</v>
      </c>
      <c r="S76" s="0" t="n">
        <v>2</v>
      </c>
      <c r="T76" s="0" t="s">
        <v>88</v>
      </c>
      <c r="U76" s="0" t="n">
        <v>1.16</v>
      </c>
      <c r="V76" s="0" t="n">
        <v>0.1</v>
      </c>
      <c r="W76" s="28" t="n">
        <v>22.5</v>
      </c>
      <c r="X76" s="28"/>
      <c r="Y76" s="0" t="s">
        <v>107</v>
      </c>
      <c r="Z76" s="23" t="s">
        <v>108</v>
      </c>
      <c r="AA76" s="4"/>
      <c r="AB76" s="26"/>
    </row>
    <row r="77" customFormat="false" ht="15" hidden="false" customHeight="true" outlineLevel="0" collapsed="false">
      <c r="A77" s="1" t="s">
        <v>105</v>
      </c>
      <c r="B77" s="2" t="s">
        <v>110</v>
      </c>
      <c r="C77" s="2" t="s">
        <v>106</v>
      </c>
      <c r="D77" s="3" t="s">
        <v>61</v>
      </c>
      <c r="E77" s="3" t="s">
        <v>71</v>
      </c>
      <c r="F77" s="3" t="s">
        <v>71</v>
      </c>
      <c r="G77" s="0" t="s">
        <v>106</v>
      </c>
      <c r="H77" s="0" t="n">
        <v>168</v>
      </c>
      <c r="I77" s="29" t="n">
        <v>1</v>
      </c>
      <c r="J77" s="0" t="s">
        <v>78</v>
      </c>
      <c r="K77" s="30" t="n">
        <f aca="false">70/3.57</f>
        <v>19.6078431372549</v>
      </c>
      <c r="L77" s="0" t="n">
        <v>10</v>
      </c>
      <c r="M77" s="0" t="n">
        <v>10</v>
      </c>
      <c r="N77" s="0" t="n">
        <v>0</v>
      </c>
      <c r="O77" s="21" t="n">
        <v>18.6</v>
      </c>
      <c r="P77" s="21" t="n">
        <v>8.5</v>
      </c>
      <c r="Q77" s="21" t="n">
        <v>0.2</v>
      </c>
      <c r="R77" s="0" t="s">
        <v>79</v>
      </c>
      <c r="S77" s="0" t="n">
        <v>2</v>
      </c>
      <c r="T77" s="0" t="s">
        <v>88</v>
      </c>
      <c r="U77" s="0" t="n">
        <v>1.16</v>
      </c>
      <c r="V77" s="0" t="n">
        <v>0.1</v>
      </c>
      <c r="W77" s="31" t="n">
        <v>68.1</v>
      </c>
      <c r="X77" s="31"/>
      <c r="Y77" s="32" t="s">
        <v>107</v>
      </c>
      <c r="Z77" s="33" t="s">
        <v>111</v>
      </c>
      <c r="AA77" s="4"/>
      <c r="AB77" s="26"/>
    </row>
    <row r="78" customFormat="false" ht="15" hidden="false" customHeight="true" outlineLevel="0" collapsed="false">
      <c r="A78" s="1" t="s">
        <v>112</v>
      </c>
      <c r="C78" s="2" t="s">
        <v>60</v>
      </c>
      <c r="D78" s="3" t="s">
        <v>77</v>
      </c>
      <c r="E78" s="3" t="s">
        <v>62</v>
      </c>
      <c r="F78" s="3" t="s">
        <v>62</v>
      </c>
      <c r="G78" s="0" t="s">
        <v>63</v>
      </c>
      <c r="H78" s="0" t="n">
        <v>96</v>
      </c>
      <c r="I78" s="20" t="n">
        <v>1</v>
      </c>
      <c r="J78" s="0" t="s">
        <v>78</v>
      </c>
      <c r="K78" s="34" t="n">
        <f aca="false">70/3</f>
        <v>23.3333333333333</v>
      </c>
      <c r="M78" s="0" t="n">
        <v>5.8</v>
      </c>
      <c r="N78" s="0" t="n">
        <v>0</v>
      </c>
      <c r="O78" s="21" t="n">
        <v>3.03</v>
      </c>
      <c r="P78" s="21" t="n">
        <v>7.94</v>
      </c>
      <c r="Q78" s="21" t="n">
        <v>2.1</v>
      </c>
      <c r="R78" s="0" t="s">
        <v>79</v>
      </c>
      <c r="S78" s="0" t="n">
        <v>3.2</v>
      </c>
      <c r="T78" s="0" t="s">
        <v>65</v>
      </c>
      <c r="W78" s="32" t="n">
        <v>11.4</v>
      </c>
      <c r="X78" s="31" t="n">
        <f aca="false">206/2100*100</f>
        <v>9.80952380952381</v>
      </c>
      <c r="Y78" s="32" t="s">
        <v>113</v>
      </c>
      <c r="Z78" s="33" t="s">
        <v>111</v>
      </c>
      <c r="AA78" s="0" t="s">
        <v>114</v>
      </c>
    </row>
    <row r="79" s="35" customFormat="true" ht="15" hidden="false" customHeight="true" outlineLevel="0" collapsed="false">
      <c r="A79" s="1" t="s">
        <v>112</v>
      </c>
      <c r="B79" s="2" t="s">
        <v>115</v>
      </c>
      <c r="C79" s="2" t="s">
        <v>60</v>
      </c>
      <c r="D79" s="3" t="s">
        <v>77</v>
      </c>
      <c r="E79" s="3" t="s">
        <v>71</v>
      </c>
      <c r="F79" s="3" t="s">
        <v>71</v>
      </c>
      <c r="G79" s="35" t="s">
        <v>63</v>
      </c>
      <c r="H79" s="35" t="n">
        <v>96</v>
      </c>
      <c r="I79" s="29" t="n">
        <v>1</v>
      </c>
      <c r="J79" s="35" t="s">
        <v>78</v>
      </c>
      <c r="K79" s="34" t="n">
        <f aca="false">70/6.6</f>
        <v>10.6060606060606</v>
      </c>
      <c r="M79" s="35" t="n">
        <v>5.8</v>
      </c>
      <c r="N79" s="35" t="n">
        <v>0</v>
      </c>
      <c r="O79" s="21" t="n">
        <v>23.1</v>
      </c>
      <c r="P79" s="21" t="n">
        <v>8.26</v>
      </c>
      <c r="Q79" s="21" t="n">
        <v>2.5</v>
      </c>
      <c r="R79" s="35" t="s">
        <v>79</v>
      </c>
      <c r="S79" s="35" t="n">
        <v>3.2</v>
      </c>
      <c r="T79" s="35" t="s">
        <v>65</v>
      </c>
      <c r="W79" s="32" t="n">
        <v>56.7</v>
      </c>
      <c r="X79" s="31" t="n">
        <f aca="false">80.3/2100*100</f>
        <v>3.82380952380952</v>
      </c>
      <c r="Y79" s="32" t="s">
        <v>113</v>
      </c>
      <c r="Z79" s="33" t="s">
        <v>111</v>
      </c>
      <c r="AA79" s="35" t="s">
        <v>114</v>
      </c>
      <c r="AB79" s="36"/>
    </row>
    <row r="80" customFormat="false" ht="15" hidden="false" customHeight="true" outlineLevel="0" collapsed="false">
      <c r="A80" s="1" t="s">
        <v>112</v>
      </c>
      <c r="B80" s="2" t="s">
        <v>115</v>
      </c>
      <c r="C80" s="2" t="s">
        <v>60</v>
      </c>
      <c r="D80" s="3" t="s">
        <v>77</v>
      </c>
      <c r="E80" s="3" t="s">
        <v>70</v>
      </c>
      <c r="F80" s="3" t="s">
        <v>70</v>
      </c>
      <c r="G80" s="0" t="s">
        <v>63</v>
      </c>
      <c r="H80" s="0" t="n">
        <v>96</v>
      </c>
      <c r="I80" s="20" t="n">
        <v>1</v>
      </c>
      <c r="J80" s="0" t="s">
        <v>78</v>
      </c>
      <c r="K80" s="34" t="n">
        <f aca="false">70/1.8</f>
        <v>38.8888888888889</v>
      </c>
      <c r="M80" s="0" t="n">
        <v>5.8</v>
      </c>
      <c r="N80" s="0" t="n">
        <v>0</v>
      </c>
      <c r="O80" s="21" t="n">
        <v>1.09</v>
      </c>
      <c r="P80" s="21" t="n">
        <v>8.05</v>
      </c>
      <c r="Q80" s="21" t="n">
        <v>1.5</v>
      </c>
      <c r="R80" s="0" t="s">
        <v>79</v>
      </c>
      <c r="S80" s="0" t="n">
        <v>3.2</v>
      </c>
      <c r="T80" s="0" t="s">
        <v>65</v>
      </c>
      <c r="W80" s="32" t="n">
        <v>8.79</v>
      </c>
      <c r="X80" s="31" t="n">
        <f aca="false">101/2100*100</f>
        <v>4.80952380952381</v>
      </c>
      <c r="Y80" s="32" t="s">
        <v>113</v>
      </c>
      <c r="Z80" s="33" t="s">
        <v>111</v>
      </c>
      <c r="AA80" s="0" t="s">
        <v>114</v>
      </c>
    </row>
    <row r="81" customFormat="false" ht="15" hidden="false" customHeight="true" outlineLevel="0" collapsed="false">
      <c r="A81" s="1" t="s">
        <v>112</v>
      </c>
      <c r="C81" s="2" t="s">
        <v>60</v>
      </c>
      <c r="D81" s="3" t="s">
        <v>77</v>
      </c>
      <c r="E81" s="3" t="s">
        <v>62</v>
      </c>
      <c r="F81" s="3" t="s">
        <v>62</v>
      </c>
      <c r="G81" s="0" t="s">
        <v>63</v>
      </c>
      <c r="H81" s="0" t="n">
        <v>96</v>
      </c>
      <c r="I81" s="20" t="n">
        <v>2</v>
      </c>
      <c r="J81" s="0" t="s">
        <v>78</v>
      </c>
      <c r="K81" s="34" t="n">
        <f aca="false">70/3.6</f>
        <v>19.4444444444444</v>
      </c>
      <c r="M81" s="0" t="n">
        <v>27.6</v>
      </c>
      <c r="N81" s="0" t="n">
        <v>0</v>
      </c>
      <c r="O81" s="21" t="n">
        <v>4.02</v>
      </c>
      <c r="P81" s="21" t="n">
        <v>7.77</v>
      </c>
      <c r="Q81" s="21" t="n">
        <v>2.6</v>
      </c>
      <c r="R81" s="0" t="s">
        <v>79</v>
      </c>
      <c r="S81" s="0" t="n">
        <v>3.2</v>
      </c>
      <c r="T81" s="0" t="s">
        <v>65</v>
      </c>
      <c r="W81" s="32" t="n">
        <v>28</v>
      </c>
      <c r="X81" s="31" t="n">
        <f aca="false">564/2900*100</f>
        <v>19.448275862069</v>
      </c>
      <c r="Y81" s="32" t="s">
        <v>113</v>
      </c>
      <c r="Z81" s="33" t="s">
        <v>111</v>
      </c>
      <c r="AA81" s="0" t="s">
        <v>114</v>
      </c>
    </row>
    <row r="82" s="35" customFormat="true" ht="15" hidden="false" customHeight="true" outlineLevel="0" collapsed="false">
      <c r="A82" s="1" t="s">
        <v>112</v>
      </c>
      <c r="B82" s="2" t="s">
        <v>115</v>
      </c>
      <c r="C82" s="2" t="s">
        <v>60</v>
      </c>
      <c r="D82" s="3" t="s">
        <v>77</v>
      </c>
      <c r="E82" s="3" t="s">
        <v>71</v>
      </c>
      <c r="F82" s="3" t="s">
        <v>71</v>
      </c>
      <c r="G82" s="35" t="s">
        <v>63</v>
      </c>
      <c r="H82" s="35" t="n">
        <v>96</v>
      </c>
      <c r="I82" s="29" t="n">
        <v>2</v>
      </c>
      <c r="J82" s="35" t="s">
        <v>78</v>
      </c>
      <c r="K82" s="34" t="n">
        <f aca="false">70/5.3</f>
        <v>13.2075471698113</v>
      </c>
      <c r="M82" s="35" t="n">
        <v>27.6</v>
      </c>
      <c r="N82" s="35" t="n">
        <v>0</v>
      </c>
      <c r="O82" s="21" t="n">
        <v>22.9</v>
      </c>
      <c r="P82" s="21" t="n">
        <v>8.3</v>
      </c>
      <c r="Q82" s="21" t="n">
        <v>1.9</v>
      </c>
      <c r="R82" s="35" t="s">
        <v>79</v>
      </c>
      <c r="S82" s="35" t="n">
        <v>3.2</v>
      </c>
      <c r="T82" s="35" t="s">
        <v>65</v>
      </c>
      <c r="W82" s="32" t="n">
        <v>96.3</v>
      </c>
      <c r="X82" s="31" t="n">
        <f aca="false">300/2900*100</f>
        <v>10.3448275862069</v>
      </c>
      <c r="Y82" s="32" t="s">
        <v>113</v>
      </c>
      <c r="Z82" s="33" t="s">
        <v>111</v>
      </c>
      <c r="AA82" s="35" t="s">
        <v>114</v>
      </c>
      <c r="AB82" s="36"/>
    </row>
    <row r="83" customFormat="false" ht="15" hidden="false" customHeight="true" outlineLevel="0" collapsed="false">
      <c r="A83" s="1" t="s">
        <v>112</v>
      </c>
      <c r="B83" s="2" t="s">
        <v>115</v>
      </c>
      <c r="C83" s="2" t="s">
        <v>60</v>
      </c>
      <c r="D83" s="3" t="s">
        <v>77</v>
      </c>
      <c r="E83" s="3" t="s">
        <v>70</v>
      </c>
      <c r="F83" s="3" t="s">
        <v>70</v>
      </c>
      <c r="G83" s="0" t="s">
        <v>63</v>
      </c>
      <c r="H83" s="0" t="n">
        <v>96</v>
      </c>
      <c r="I83" s="20" t="n">
        <v>2</v>
      </c>
      <c r="J83" s="0" t="s">
        <v>78</v>
      </c>
      <c r="K83" s="34" t="n">
        <f aca="false">70/1.9</f>
        <v>36.8421052631579</v>
      </c>
      <c r="M83" s="0" t="n">
        <v>27.6</v>
      </c>
      <c r="N83" s="0" t="n">
        <v>0</v>
      </c>
      <c r="O83" s="21" t="n">
        <v>1.25</v>
      </c>
      <c r="P83" s="21" t="n">
        <v>8.07</v>
      </c>
      <c r="Q83" s="21" t="n">
        <v>1.9</v>
      </c>
      <c r="R83" s="0" t="s">
        <v>79</v>
      </c>
      <c r="S83" s="0" t="n">
        <v>3.2</v>
      </c>
      <c r="T83" s="0" t="s">
        <v>65</v>
      </c>
      <c r="W83" s="32" t="n">
        <v>23.8</v>
      </c>
      <c r="X83" s="31" t="n">
        <f aca="false">339/2900*100</f>
        <v>11.6896551724138</v>
      </c>
      <c r="Y83" s="32" t="s">
        <v>113</v>
      </c>
      <c r="Z83" s="33" t="s">
        <v>111</v>
      </c>
      <c r="AA83" s="0" t="s">
        <v>114</v>
      </c>
    </row>
    <row r="84" customFormat="false" ht="15" hidden="false" customHeight="true" outlineLevel="0" collapsed="false">
      <c r="A84" s="1" t="s">
        <v>116</v>
      </c>
      <c r="C84" s="2" t="s">
        <v>106</v>
      </c>
      <c r="D84" s="3" t="s">
        <v>61</v>
      </c>
      <c r="E84" s="3" t="s">
        <v>62</v>
      </c>
      <c r="F84" s="3" t="s">
        <v>62</v>
      </c>
      <c r="G84" s="0" t="s">
        <v>117</v>
      </c>
      <c r="H84" s="0" t="n">
        <v>333</v>
      </c>
      <c r="I84" s="20" t="n">
        <v>1</v>
      </c>
      <c r="J84" s="0" t="s">
        <v>64</v>
      </c>
      <c r="K84" s="27"/>
      <c r="L84" s="0" t="n">
        <v>25</v>
      </c>
      <c r="M84" s="0" t="n">
        <v>25</v>
      </c>
      <c r="N84" s="0" t="n">
        <v>0</v>
      </c>
      <c r="O84" s="21" t="n">
        <v>11.3</v>
      </c>
      <c r="P84" s="21" t="n">
        <v>7.2</v>
      </c>
      <c r="Q84" s="21" t="n">
        <v>1.3</v>
      </c>
      <c r="R84" s="0" t="s">
        <v>118</v>
      </c>
      <c r="S84" s="0" t="n">
        <v>9</v>
      </c>
      <c r="T84" s="0" t="s">
        <v>88</v>
      </c>
      <c r="U84" s="0" t="n">
        <v>1.52</v>
      </c>
      <c r="W84" s="32" t="n">
        <v>5.2</v>
      </c>
      <c r="X84" s="32"/>
      <c r="Y84" s="32" t="s">
        <v>84</v>
      </c>
      <c r="Z84" s="33" t="s">
        <v>119</v>
      </c>
    </row>
    <row r="85" customFormat="false" ht="15" hidden="false" customHeight="true" outlineLevel="0" collapsed="false">
      <c r="A85" s="1" t="s">
        <v>116</v>
      </c>
      <c r="B85" s="2" t="s">
        <v>120</v>
      </c>
      <c r="C85" s="2" t="s">
        <v>106</v>
      </c>
      <c r="D85" s="3" t="s">
        <v>61</v>
      </c>
      <c r="E85" s="3" t="s">
        <v>70</v>
      </c>
      <c r="F85" s="3" t="s">
        <v>70</v>
      </c>
      <c r="G85" s="0" t="s">
        <v>117</v>
      </c>
      <c r="H85" s="0" t="n">
        <v>333</v>
      </c>
      <c r="I85" s="20" t="n">
        <v>1</v>
      </c>
      <c r="J85" s="0" t="s">
        <v>64</v>
      </c>
      <c r="K85" s="27"/>
      <c r="L85" s="0" t="n">
        <v>25</v>
      </c>
      <c r="M85" s="0" t="n">
        <v>25</v>
      </c>
      <c r="N85" s="0" t="n">
        <v>0</v>
      </c>
      <c r="O85" s="21" t="n">
        <v>2.1</v>
      </c>
      <c r="P85" s="21" t="n">
        <v>7.2</v>
      </c>
      <c r="Q85" s="21" t="n">
        <v>1.2</v>
      </c>
      <c r="R85" s="0" t="s">
        <v>121</v>
      </c>
      <c r="S85" s="0" t="n">
        <v>9</v>
      </c>
      <c r="T85" s="0" t="s">
        <v>88</v>
      </c>
      <c r="U85" s="0" t="n">
        <v>1.52</v>
      </c>
      <c r="W85" s="0" t="n">
        <v>0.2</v>
      </c>
      <c r="Y85" s="0" t="s">
        <v>84</v>
      </c>
      <c r="Z85" s="23" t="s">
        <v>122</v>
      </c>
    </row>
    <row r="86" customFormat="false" ht="15" hidden="false" customHeight="true" outlineLevel="0" collapsed="false">
      <c r="A86" s="1" t="s">
        <v>123</v>
      </c>
      <c r="C86" s="2" t="s">
        <v>106</v>
      </c>
      <c r="D86" s="3" t="s">
        <v>61</v>
      </c>
      <c r="E86" s="37" t="s">
        <v>62</v>
      </c>
      <c r="F86" s="37" t="s">
        <v>62</v>
      </c>
      <c r="G86" s="0" t="s">
        <v>106</v>
      </c>
      <c r="H86" s="0" t="n">
        <v>168</v>
      </c>
      <c r="I86" s="20" t="n">
        <v>1</v>
      </c>
      <c r="J86" s="0" t="s">
        <v>124</v>
      </c>
      <c r="K86" s="27"/>
      <c r="N86" s="0" t="n">
        <v>0</v>
      </c>
      <c r="O86" s="21" t="n">
        <v>4.3</v>
      </c>
      <c r="P86" s="21" t="n">
        <v>7.4</v>
      </c>
      <c r="Q86" s="21" t="n">
        <v>1.3</v>
      </c>
      <c r="R86" s="0" t="s">
        <v>125</v>
      </c>
      <c r="S86" s="0" t="n">
        <v>3</v>
      </c>
      <c r="T86" s="0" t="s">
        <v>88</v>
      </c>
      <c r="W86" s="0" t="n">
        <v>11.3</v>
      </c>
      <c r="Y86" s="0" t="s">
        <v>101</v>
      </c>
      <c r="Z86" s="23" t="s">
        <v>126</v>
      </c>
      <c r="AA86" s="4"/>
    </row>
    <row r="87" customFormat="false" ht="15" hidden="false" customHeight="true" outlineLevel="0" collapsed="false">
      <c r="A87" s="1" t="s">
        <v>123</v>
      </c>
      <c r="B87" s="2" t="s">
        <v>120</v>
      </c>
      <c r="C87" s="2" t="s">
        <v>106</v>
      </c>
      <c r="D87" s="3" t="s">
        <v>61</v>
      </c>
      <c r="E87" s="3" t="s">
        <v>70</v>
      </c>
      <c r="F87" s="3" t="s">
        <v>70</v>
      </c>
      <c r="G87" s="0" t="s">
        <v>106</v>
      </c>
      <c r="H87" s="0" t="n">
        <v>169</v>
      </c>
      <c r="I87" s="20" t="n">
        <v>1</v>
      </c>
      <c r="J87" s="0" t="s">
        <v>124</v>
      </c>
      <c r="K87" s="27"/>
      <c r="N87" s="0" t="n">
        <v>0</v>
      </c>
      <c r="O87" s="21" t="n">
        <v>2.1</v>
      </c>
      <c r="P87" s="21" t="n">
        <v>7.3</v>
      </c>
      <c r="Q87" s="21" t="n">
        <v>1.1</v>
      </c>
      <c r="R87" s="0" t="s">
        <v>125</v>
      </c>
      <c r="S87" s="0" t="n">
        <v>3</v>
      </c>
      <c r="T87" s="0" t="s">
        <v>88</v>
      </c>
      <c r="W87" s="0" t="n">
        <v>13.3</v>
      </c>
      <c r="Y87" s="0" t="s">
        <v>101</v>
      </c>
      <c r="Z87" s="23" t="s">
        <v>126</v>
      </c>
      <c r="AA87" s="4"/>
    </row>
    <row r="88" customFormat="false" ht="15" hidden="false" customHeight="true" outlineLevel="0" collapsed="false">
      <c r="A88" s="1" t="s">
        <v>127</v>
      </c>
      <c r="C88" s="2" t="s">
        <v>106</v>
      </c>
      <c r="D88" s="3" t="s">
        <v>61</v>
      </c>
      <c r="E88" s="3" t="s">
        <v>62</v>
      </c>
      <c r="F88" s="3" t="s">
        <v>62</v>
      </c>
      <c r="G88" s="0" t="s">
        <v>128</v>
      </c>
      <c r="H88" s="0" t="n">
        <v>101</v>
      </c>
      <c r="I88" s="20" t="n">
        <v>1</v>
      </c>
      <c r="J88" s="0" t="s">
        <v>78</v>
      </c>
      <c r="K88" s="22" t="n">
        <f aca="false">75/Q88</f>
        <v>21.4285714285714</v>
      </c>
      <c r="O88" s="21" t="n">
        <v>8.7</v>
      </c>
      <c r="P88" s="21" t="n">
        <v>7.6</v>
      </c>
      <c r="Q88" s="21" t="n">
        <v>3.5</v>
      </c>
      <c r="R88" s="0" t="s">
        <v>129</v>
      </c>
      <c r="T88" s="0" t="s">
        <v>65</v>
      </c>
      <c r="W88" s="38" t="n">
        <f aca="false">14.34/(K88*Q88)*100</f>
        <v>19.12</v>
      </c>
      <c r="Y88" s="0" t="s">
        <v>130</v>
      </c>
      <c r="Z88" s="0" t="s">
        <v>131</v>
      </c>
      <c r="AC88" s="39"/>
      <c r="AE88" s="28"/>
      <c r="AF88" s="28"/>
      <c r="AG88" s="28"/>
      <c r="AI88" s="28"/>
      <c r="AJ88" s="28"/>
      <c r="AK88" s="28"/>
      <c r="AL88" s="28"/>
    </row>
    <row r="89" customFormat="false" ht="15" hidden="false" customHeight="true" outlineLevel="0" collapsed="false">
      <c r="A89" s="1" t="s">
        <v>127</v>
      </c>
      <c r="C89" s="2" t="s">
        <v>106</v>
      </c>
      <c r="D89" s="3" t="s">
        <v>61</v>
      </c>
      <c r="E89" s="3" t="s">
        <v>62</v>
      </c>
      <c r="F89" s="3" t="s">
        <v>62</v>
      </c>
      <c r="G89" s="0" t="s">
        <v>128</v>
      </c>
      <c r="H89" s="0" t="n">
        <v>101</v>
      </c>
      <c r="I89" s="20" t="n">
        <v>3</v>
      </c>
      <c r="J89" s="0" t="s">
        <v>78</v>
      </c>
      <c r="K89" s="22" t="n">
        <f aca="false">75/Q89</f>
        <v>21.4285714285714</v>
      </c>
      <c r="O89" s="21" t="n">
        <v>8.7</v>
      </c>
      <c r="P89" s="21" t="n">
        <v>7.6</v>
      </c>
      <c r="Q89" s="21" t="n">
        <v>3.5</v>
      </c>
      <c r="R89" s="0" t="s">
        <v>129</v>
      </c>
      <c r="T89" s="0" t="s">
        <v>65</v>
      </c>
      <c r="W89" s="38" t="n">
        <f aca="false">14.34/(K89*Q89)*100</f>
        <v>19.12</v>
      </c>
      <c r="Y89" s="0" t="s">
        <v>130</v>
      </c>
      <c r="Z89" s="0" t="s">
        <v>131</v>
      </c>
      <c r="AC89" s="39"/>
      <c r="AE89" s="28"/>
      <c r="AF89" s="28"/>
      <c r="AG89" s="28"/>
      <c r="AI89" s="28"/>
      <c r="AJ89" s="28"/>
      <c r="AK89" s="28"/>
      <c r="AL89" s="28"/>
    </row>
    <row r="90" customFormat="false" ht="15" hidden="false" customHeight="true" outlineLevel="0" collapsed="false">
      <c r="A90" s="1" t="s">
        <v>127</v>
      </c>
      <c r="C90" s="2" t="s">
        <v>106</v>
      </c>
      <c r="D90" s="3" t="s">
        <v>61</v>
      </c>
      <c r="E90" s="3" t="s">
        <v>62</v>
      </c>
      <c r="F90" s="3" t="s">
        <v>62</v>
      </c>
      <c r="G90" s="0" t="s">
        <v>128</v>
      </c>
      <c r="H90" s="0" t="n">
        <v>101</v>
      </c>
      <c r="I90" s="20" t="n">
        <v>4</v>
      </c>
      <c r="J90" s="0" t="s">
        <v>78</v>
      </c>
      <c r="K90" s="22" t="n">
        <f aca="false">75/Q90</f>
        <v>21.4285714285714</v>
      </c>
      <c r="O90" s="21" t="n">
        <v>8.7</v>
      </c>
      <c r="P90" s="21" t="n">
        <v>7.6</v>
      </c>
      <c r="Q90" s="21" t="n">
        <v>3.5</v>
      </c>
      <c r="R90" s="0" t="s">
        <v>129</v>
      </c>
      <c r="T90" s="0" t="s">
        <v>65</v>
      </c>
      <c r="W90" s="38" t="n">
        <f aca="false">14.34/(K90*Q90)*100</f>
        <v>19.12</v>
      </c>
      <c r="Y90" s="0" t="s">
        <v>130</v>
      </c>
      <c r="Z90" s="0" t="s">
        <v>131</v>
      </c>
      <c r="AC90" s="39"/>
      <c r="AE90" s="28"/>
      <c r="AF90" s="28"/>
      <c r="AG90" s="28"/>
      <c r="AI90" s="28"/>
      <c r="AJ90" s="28"/>
      <c r="AK90" s="28"/>
      <c r="AL90" s="28"/>
    </row>
    <row r="91" customFormat="false" ht="15" hidden="false" customHeight="true" outlineLevel="0" collapsed="false">
      <c r="A91" s="1" t="s">
        <v>127</v>
      </c>
      <c r="C91" s="2" t="s">
        <v>106</v>
      </c>
      <c r="D91" s="3" t="s">
        <v>61</v>
      </c>
      <c r="E91" s="3" t="s">
        <v>62</v>
      </c>
      <c r="F91" s="3" t="s">
        <v>62</v>
      </c>
      <c r="G91" s="0" t="s">
        <v>128</v>
      </c>
      <c r="H91" s="0" t="n">
        <v>101</v>
      </c>
      <c r="I91" s="20" t="n">
        <v>5</v>
      </c>
      <c r="J91" s="0" t="s">
        <v>78</v>
      </c>
      <c r="K91" s="22" t="n">
        <f aca="false">75/Q91</f>
        <v>21.4285714285714</v>
      </c>
      <c r="O91" s="21" t="n">
        <v>8.7</v>
      </c>
      <c r="P91" s="21" t="n">
        <v>7.6</v>
      </c>
      <c r="Q91" s="21" t="n">
        <v>3.5</v>
      </c>
      <c r="R91" s="0" t="s">
        <v>129</v>
      </c>
      <c r="T91" s="0" t="s">
        <v>65</v>
      </c>
      <c r="W91" s="38" t="n">
        <f aca="false">14.34/(K91*Q91)*100</f>
        <v>19.12</v>
      </c>
      <c r="Y91" s="0" t="s">
        <v>130</v>
      </c>
      <c r="Z91" s="0" t="s">
        <v>131</v>
      </c>
      <c r="AC91" s="39"/>
      <c r="AE91" s="28"/>
      <c r="AF91" s="28"/>
      <c r="AG91" s="28"/>
      <c r="AI91" s="28"/>
      <c r="AJ91" s="28"/>
      <c r="AK91" s="28"/>
      <c r="AL91" s="28"/>
    </row>
    <row r="92" customFormat="false" ht="15" hidden="false" customHeight="false" outlineLevel="0" collapsed="false">
      <c r="A92" s="1" t="s">
        <v>127</v>
      </c>
      <c r="B92" s="2" t="s">
        <v>132</v>
      </c>
      <c r="C92" s="2" t="s">
        <v>106</v>
      </c>
      <c r="D92" s="3" t="s">
        <v>61</v>
      </c>
      <c r="E92" s="3" t="s">
        <v>70</v>
      </c>
      <c r="F92" s="3" t="s">
        <v>70</v>
      </c>
      <c r="G92" s="0" t="s">
        <v>128</v>
      </c>
      <c r="H92" s="0" t="n">
        <v>101</v>
      </c>
      <c r="I92" s="20" t="n">
        <v>1</v>
      </c>
      <c r="J92" s="0" t="s">
        <v>78</v>
      </c>
      <c r="K92" s="22" t="n">
        <f aca="false">75/Q92</f>
        <v>20.8333333333333</v>
      </c>
      <c r="O92" s="21" t="n">
        <v>8.1</v>
      </c>
      <c r="P92" s="21" t="n">
        <v>7.6</v>
      </c>
      <c r="Q92" s="21" t="n">
        <v>3.6</v>
      </c>
      <c r="R92" s="0" t="s">
        <v>129</v>
      </c>
      <c r="T92" s="0" t="s">
        <v>65</v>
      </c>
      <c r="W92" s="38" t="n">
        <f aca="false">10.05/(K92*Q92)*100</f>
        <v>13.4</v>
      </c>
      <c r="Y92" s="0" t="s">
        <v>130</v>
      </c>
      <c r="Z92" s="0" t="s">
        <v>131</v>
      </c>
      <c r="AC92" s="39"/>
      <c r="AE92" s="28"/>
      <c r="AF92" s="28"/>
      <c r="AG92" s="28"/>
      <c r="AI92" s="28"/>
      <c r="AJ92" s="28"/>
      <c r="AK92" s="28"/>
      <c r="AL92" s="28"/>
    </row>
    <row r="93" customFormat="false" ht="15" hidden="false" customHeight="false" outlineLevel="0" collapsed="false">
      <c r="A93" s="1" t="s">
        <v>127</v>
      </c>
      <c r="B93" s="2" t="s">
        <v>132</v>
      </c>
      <c r="C93" s="2" t="s">
        <v>106</v>
      </c>
      <c r="D93" s="3" t="s">
        <v>61</v>
      </c>
      <c r="E93" s="3" t="s">
        <v>70</v>
      </c>
      <c r="F93" s="3" t="s">
        <v>70</v>
      </c>
      <c r="G93" s="0" t="s">
        <v>128</v>
      </c>
      <c r="H93" s="0" t="n">
        <v>101</v>
      </c>
      <c r="I93" s="20" t="n">
        <v>3</v>
      </c>
      <c r="J93" s="0" t="s">
        <v>78</v>
      </c>
      <c r="K93" s="22" t="n">
        <f aca="false">75/Q93</f>
        <v>20.8333333333333</v>
      </c>
      <c r="O93" s="21" t="n">
        <v>7.8</v>
      </c>
      <c r="P93" s="21" t="n">
        <v>7.6</v>
      </c>
      <c r="Q93" s="21" t="n">
        <v>3.6</v>
      </c>
      <c r="R93" s="0" t="s">
        <v>129</v>
      </c>
      <c r="T93" s="0" t="s">
        <v>65</v>
      </c>
      <c r="W93" s="38" t="n">
        <f aca="false">8.66/(K93*Q93)*100</f>
        <v>11.5466666666667</v>
      </c>
      <c r="Y93" s="0" t="s">
        <v>130</v>
      </c>
      <c r="Z93" s="0" t="s">
        <v>131</v>
      </c>
      <c r="AC93" s="39"/>
      <c r="AE93" s="28"/>
      <c r="AF93" s="28"/>
      <c r="AG93" s="28"/>
      <c r="AI93" s="28"/>
      <c r="AJ93" s="28"/>
      <c r="AK93" s="28"/>
      <c r="AL93" s="28"/>
    </row>
    <row r="94" customFormat="false" ht="15" hidden="false" customHeight="false" outlineLevel="0" collapsed="false">
      <c r="A94" s="1" t="s">
        <v>127</v>
      </c>
      <c r="B94" s="2" t="s">
        <v>132</v>
      </c>
      <c r="C94" s="2" t="s">
        <v>106</v>
      </c>
      <c r="D94" s="3" t="s">
        <v>61</v>
      </c>
      <c r="E94" s="3" t="s">
        <v>70</v>
      </c>
      <c r="F94" s="3" t="s">
        <v>70</v>
      </c>
      <c r="G94" s="0" t="s">
        <v>128</v>
      </c>
      <c r="H94" s="0" t="n">
        <v>101</v>
      </c>
      <c r="I94" s="20" t="n">
        <v>4</v>
      </c>
      <c r="J94" s="0" t="s">
        <v>78</v>
      </c>
      <c r="K94" s="22" t="n">
        <f aca="false">75/Q94</f>
        <v>20.8333333333333</v>
      </c>
      <c r="O94" s="21" t="n">
        <v>6.5</v>
      </c>
      <c r="P94" s="21" t="n">
        <v>7.6</v>
      </c>
      <c r="Q94" s="21" t="n">
        <v>3.6</v>
      </c>
      <c r="R94" s="0" t="s">
        <v>129</v>
      </c>
      <c r="T94" s="0" t="s">
        <v>65</v>
      </c>
      <c r="W94" s="38" t="n">
        <f aca="false">7.42/(K94*Q94)*100</f>
        <v>9.89333333333333</v>
      </c>
      <c r="Y94" s="0" t="s">
        <v>130</v>
      </c>
      <c r="Z94" s="0" t="s">
        <v>131</v>
      </c>
      <c r="AC94" s="39"/>
      <c r="AE94" s="28"/>
      <c r="AF94" s="28"/>
      <c r="AG94" s="28"/>
      <c r="AI94" s="28"/>
      <c r="AJ94" s="28"/>
      <c r="AK94" s="28"/>
      <c r="AL94" s="28"/>
    </row>
    <row r="95" customFormat="false" ht="15" hidden="false" customHeight="false" outlineLevel="0" collapsed="false">
      <c r="A95" s="1" t="s">
        <v>127</v>
      </c>
      <c r="B95" s="2" t="s">
        <v>132</v>
      </c>
      <c r="C95" s="2" t="s">
        <v>106</v>
      </c>
      <c r="D95" s="3" t="s">
        <v>61</v>
      </c>
      <c r="E95" s="3" t="s">
        <v>70</v>
      </c>
      <c r="F95" s="3" t="s">
        <v>70</v>
      </c>
      <c r="G95" s="0" t="s">
        <v>128</v>
      </c>
      <c r="H95" s="0" t="n">
        <v>101</v>
      </c>
      <c r="I95" s="20" t="n">
        <v>5</v>
      </c>
      <c r="J95" s="0" t="s">
        <v>78</v>
      </c>
      <c r="K95" s="22" t="n">
        <f aca="false">75/Q95</f>
        <v>20.8333333333333</v>
      </c>
      <c r="O95" s="21" t="n">
        <v>5.8</v>
      </c>
      <c r="P95" s="21" t="n">
        <v>7.6</v>
      </c>
      <c r="Q95" s="21" t="n">
        <v>3.6</v>
      </c>
      <c r="R95" s="0" t="s">
        <v>129</v>
      </c>
      <c r="T95" s="0" t="s">
        <v>65</v>
      </c>
      <c r="W95" s="38" t="n">
        <f aca="false">5.03/(K95*Q95)*100</f>
        <v>6.70666666666667</v>
      </c>
      <c r="Y95" s="0" t="s">
        <v>130</v>
      </c>
      <c r="Z95" s="0" t="s">
        <v>131</v>
      </c>
      <c r="AC95" s="39"/>
      <c r="AE95" s="28"/>
      <c r="AF95" s="28"/>
      <c r="AG95" s="28"/>
      <c r="AI95" s="28"/>
      <c r="AJ95" s="28"/>
      <c r="AK95" s="28"/>
      <c r="AL95" s="28"/>
    </row>
    <row r="96" customFormat="false" ht="15" hidden="false" customHeight="false" outlineLevel="0" collapsed="false">
      <c r="A96" s="1" t="s">
        <v>127</v>
      </c>
      <c r="C96" s="2" t="s">
        <v>106</v>
      </c>
      <c r="D96" s="3" t="s">
        <v>61</v>
      </c>
      <c r="E96" s="3" t="s">
        <v>62</v>
      </c>
      <c r="F96" s="3" t="s">
        <v>62</v>
      </c>
      <c r="G96" s="0" t="s">
        <v>128</v>
      </c>
      <c r="H96" s="0" t="n">
        <v>101</v>
      </c>
      <c r="I96" s="20" t="n">
        <v>2</v>
      </c>
      <c r="J96" s="0" t="s">
        <v>78</v>
      </c>
      <c r="K96" s="22" t="n">
        <f aca="false">75/Q96</f>
        <v>20.8333333333333</v>
      </c>
      <c r="O96" s="21" t="n">
        <v>9.3</v>
      </c>
      <c r="P96" s="21" t="n">
        <v>7.4</v>
      </c>
      <c r="Q96" s="21" t="n">
        <v>3.6</v>
      </c>
      <c r="R96" s="0" t="s">
        <v>129</v>
      </c>
      <c r="T96" s="0" t="s">
        <v>65</v>
      </c>
      <c r="W96" s="38" t="n">
        <f aca="false">17.33/(K96*Q96)*100</f>
        <v>23.1066666666667</v>
      </c>
      <c r="Y96" s="0" t="s">
        <v>130</v>
      </c>
      <c r="Z96" s="0" t="s">
        <v>131</v>
      </c>
      <c r="AC96" s="39"/>
      <c r="AE96" s="28"/>
      <c r="AF96" s="28"/>
      <c r="AG96" s="28"/>
      <c r="AI96" s="28"/>
      <c r="AJ96" s="28"/>
      <c r="AK96" s="28"/>
      <c r="AL96" s="28"/>
    </row>
    <row r="97" customFormat="false" ht="15" hidden="false" customHeight="false" outlineLevel="0" collapsed="false">
      <c r="A97" s="1" t="s">
        <v>127</v>
      </c>
      <c r="C97" s="2" t="s">
        <v>106</v>
      </c>
      <c r="D97" s="3" t="s">
        <v>61</v>
      </c>
      <c r="E97" s="3" t="s">
        <v>62</v>
      </c>
      <c r="F97" s="3" t="s">
        <v>62</v>
      </c>
      <c r="G97" s="0" t="s">
        <v>128</v>
      </c>
      <c r="H97" s="0" t="n">
        <v>101</v>
      </c>
      <c r="I97" s="20" t="n">
        <v>6</v>
      </c>
      <c r="J97" s="0" t="s">
        <v>78</v>
      </c>
      <c r="K97" s="22" t="n">
        <f aca="false">75/Q97</f>
        <v>20.8333333333333</v>
      </c>
      <c r="O97" s="21" t="n">
        <v>9.3</v>
      </c>
      <c r="P97" s="21" t="n">
        <v>7.4</v>
      </c>
      <c r="Q97" s="21" t="n">
        <v>3.6</v>
      </c>
      <c r="R97" s="0" t="s">
        <v>129</v>
      </c>
      <c r="T97" s="0" t="s">
        <v>65</v>
      </c>
      <c r="W97" s="38" t="n">
        <f aca="false">17.33/(K97*Q97)*100</f>
        <v>23.1066666666667</v>
      </c>
      <c r="Y97" s="0" t="s">
        <v>130</v>
      </c>
      <c r="Z97" s="0" t="s">
        <v>131</v>
      </c>
      <c r="AC97" s="39"/>
      <c r="AE97" s="28"/>
      <c r="AF97" s="28"/>
      <c r="AG97" s="28"/>
      <c r="AI97" s="28"/>
      <c r="AJ97" s="28"/>
      <c r="AK97" s="28"/>
      <c r="AL97" s="28"/>
    </row>
    <row r="98" customFormat="false" ht="15" hidden="false" customHeight="false" outlineLevel="0" collapsed="false">
      <c r="A98" s="1" t="s">
        <v>127</v>
      </c>
      <c r="C98" s="2" t="s">
        <v>106</v>
      </c>
      <c r="D98" s="3" t="s">
        <v>61</v>
      </c>
      <c r="E98" s="3" t="s">
        <v>62</v>
      </c>
      <c r="F98" s="3" t="s">
        <v>62</v>
      </c>
      <c r="G98" s="0" t="s">
        <v>128</v>
      </c>
      <c r="H98" s="0" t="n">
        <v>101</v>
      </c>
      <c r="I98" s="20" t="n">
        <v>7</v>
      </c>
      <c r="J98" s="0" t="s">
        <v>78</v>
      </c>
      <c r="K98" s="22" t="n">
        <f aca="false">75/Q98</f>
        <v>20.8333333333333</v>
      </c>
      <c r="O98" s="21" t="n">
        <v>9.3</v>
      </c>
      <c r="P98" s="21" t="n">
        <v>7.4</v>
      </c>
      <c r="Q98" s="21" t="n">
        <v>3.6</v>
      </c>
      <c r="R98" s="0" t="s">
        <v>129</v>
      </c>
      <c r="T98" s="0" t="s">
        <v>65</v>
      </c>
      <c r="W98" s="38" t="n">
        <f aca="false">17.33/(K98*Q98)*100</f>
        <v>23.1066666666667</v>
      </c>
      <c r="Y98" s="0" t="s">
        <v>130</v>
      </c>
      <c r="Z98" s="0" t="s">
        <v>131</v>
      </c>
      <c r="AC98" s="39"/>
      <c r="AE98" s="28"/>
      <c r="AF98" s="28"/>
      <c r="AG98" s="28"/>
      <c r="AI98" s="28"/>
      <c r="AJ98" s="28"/>
      <c r="AK98" s="28"/>
      <c r="AL98" s="28"/>
    </row>
    <row r="99" customFormat="false" ht="15" hidden="false" customHeight="false" outlineLevel="0" collapsed="false">
      <c r="A99" s="1" t="s">
        <v>127</v>
      </c>
      <c r="C99" s="2" t="s">
        <v>106</v>
      </c>
      <c r="D99" s="3" t="s">
        <v>61</v>
      </c>
      <c r="E99" s="3" t="s">
        <v>62</v>
      </c>
      <c r="F99" s="3" t="s">
        <v>62</v>
      </c>
      <c r="G99" s="0" t="s">
        <v>128</v>
      </c>
      <c r="H99" s="0" t="n">
        <v>101</v>
      </c>
      <c r="I99" s="20" t="n">
        <v>8</v>
      </c>
      <c r="J99" s="0" t="s">
        <v>78</v>
      </c>
      <c r="K99" s="22" t="n">
        <f aca="false">75/Q99</f>
        <v>20.8333333333333</v>
      </c>
      <c r="O99" s="21" t="n">
        <v>9.3</v>
      </c>
      <c r="P99" s="21" t="n">
        <v>7.4</v>
      </c>
      <c r="Q99" s="21" t="n">
        <v>3.6</v>
      </c>
      <c r="R99" s="0" t="s">
        <v>129</v>
      </c>
      <c r="T99" s="0" t="s">
        <v>65</v>
      </c>
      <c r="W99" s="38" t="n">
        <f aca="false">17.33/(K99*Q99)*100</f>
        <v>23.1066666666667</v>
      </c>
      <c r="Y99" s="0" t="s">
        <v>130</v>
      </c>
      <c r="Z99" s="0" t="s">
        <v>131</v>
      </c>
      <c r="AC99" s="39"/>
      <c r="AE99" s="28"/>
      <c r="AF99" s="28"/>
      <c r="AG99" s="28"/>
      <c r="AI99" s="28"/>
      <c r="AJ99" s="28"/>
      <c r="AK99" s="28"/>
      <c r="AL99" s="28"/>
    </row>
    <row r="100" customFormat="false" ht="15" hidden="false" customHeight="false" outlineLevel="0" collapsed="false">
      <c r="A100" s="1" t="s">
        <v>127</v>
      </c>
      <c r="B100" s="2" t="s">
        <v>132</v>
      </c>
      <c r="C100" s="2" t="s">
        <v>106</v>
      </c>
      <c r="D100" s="3" t="s">
        <v>61</v>
      </c>
      <c r="E100" s="3" t="s">
        <v>70</v>
      </c>
      <c r="F100" s="3" t="s">
        <v>70</v>
      </c>
      <c r="G100" s="0" t="s">
        <v>128</v>
      </c>
      <c r="H100" s="0" t="n">
        <v>101</v>
      </c>
      <c r="I100" s="20" t="n">
        <v>2</v>
      </c>
      <c r="J100" s="0" t="s">
        <v>78</v>
      </c>
      <c r="K100" s="22" t="n">
        <f aca="false">75/Q100</f>
        <v>21.4285714285714</v>
      </c>
      <c r="O100" s="21" t="n">
        <v>8.3</v>
      </c>
      <c r="P100" s="21" t="n">
        <v>7.7</v>
      </c>
      <c r="Q100" s="21" t="n">
        <v>3.5</v>
      </c>
      <c r="R100" s="0" t="s">
        <v>129</v>
      </c>
      <c r="T100" s="0" t="s">
        <v>65</v>
      </c>
      <c r="W100" s="38" t="n">
        <f aca="false">17.81/(K100*Q100)*100</f>
        <v>23.7466666666667</v>
      </c>
      <c r="Y100" s="0" t="s">
        <v>130</v>
      </c>
      <c r="Z100" s="0" t="s">
        <v>131</v>
      </c>
      <c r="AC100" s="39"/>
      <c r="AE100" s="28"/>
      <c r="AF100" s="28"/>
      <c r="AG100" s="28"/>
      <c r="AI100" s="28"/>
      <c r="AJ100" s="28"/>
      <c r="AK100" s="28"/>
      <c r="AL100" s="28"/>
    </row>
    <row r="101" customFormat="false" ht="15" hidden="false" customHeight="false" outlineLevel="0" collapsed="false">
      <c r="A101" s="1" t="s">
        <v>127</v>
      </c>
      <c r="B101" s="2" t="s">
        <v>132</v>
      </c>
      <c r="C101" s="2" t="s">
        <v>106</v>
      </c>
      <c r="D101" s="3" t="s">
        <v>61</v>
      </c>
      <c r="E101" s="3" t="s">
        <v>70</v>
      </c>
      <c r="F101" s="3" t="s">
        <v>70</v>
      </c>
      <c r="G101" s="0" t="s">
        <v>128</v>
      </c>
      <c r="H101" s="0" t="n">
        <v>101</v>
      </c>
      <c r="I101" s="20" t="n">
        <v>6</v>
      </c>
      <c r="J101" s="0" t="s">
        <v>78</v>
      </c>
      <c r="K101" s="22" t="n">
        <f aca="false">75/Q101</f>
        <v>20.8333333333333</v>
      </c>
      <c r="O101" s="21" t="n">
        <v>7.7</v>
      </c>
      <c r="P101" s="21" t="n">
        <v>7.5</v>
      </c>
      <c r="Q101" s="21" t="n">
        <v>3.6</v>
      </c>
      <c r="R101" s="0" t="s">
        <v>129</v>
      </c>
      <c r="T101" s="0" t="s">
        <v>65</v>
      </c>
      <c r="W101" s="38" t="n">
        <f aca="false">16.38/(K101*Q101)*100</f>
        <v>21.84</v>
      </c>
      <c r="Y101" s="0" t="s">
        <v>130</v>
      </c>
      <c r="Z101" s="0" t="s">
        <v>131</v>
      </c>
      <c r="AC101" s="39"/>
      <c r="AE101" s="28"/>
      <c r="AF101" s="28"/>
      <c r="AG101" s="28"/>
      <c r="AI101" s="28"/>
      <c r="AJ101" s="28"/>
      <c r="AK101" s="28"/>
      <c r="AL101" s="28"/>
    </row>
    <row r="102" customFormat="false" ht="15" hidden="false" customHeight="false" outlineLevel="0" collapsed="false">
      <c r="A102" s="1" t="s">
        <v>127</v>
      </c>
      <c r="B102" s="2" t="s">
        <v>132</v>
      </c>
      <c r="C102" s="2" t="s">
        <v>106</v>
      </c>
      <c r="D102" s="3" t="s">
        <v>61</v>
      </c>
      <c r="E102" s="3" t="s">
        <v>70</v>
      </c>
      <c r="F102" s="3" t="s">
        <v>70</v>
      </c>
      <c r="G102" s="0" t="s">
        <v>128</v>
      </c>
      <c r="H102" s="0" t="n">
        <v>101</v>
      </c>
      <c r="I102" s="20" t="n">
        <v>7</v>
      </c>
      <c r="J102" s="0" t="s">
        <v>78</v>
      </c>
      <c r="K102" s="22" t="n">
        <f aca="false">75/Q102</f>
        <v>20.2702702702703</v>
      </c>
      <c r="O102" s="21" t="n">
        <v>6.9</v>
      </c>
      <c r="P102" s="21" t="n">
        <v>7.7</v>
      </c>
      <c r="Q102" s="21" t="n">
        <v>3.7</v>
      </c>
      <c r="R102" s="0" t="s">
        <v>129</v>
      </c>
      <c r="T102" s="0" t="s">
        <v>65</v>
      </c>
      <c r="W102" s="38" t="n">
        <f aca="false">11.41/(K102*Q102)*100</f>
        <v>15.2133333333333</v>
      </c>
      <c r="Y102" s="0" t="s">
        <v>130</v>
      </c>
      <c r="Z102" s="0" t="s">
        <v>131</v>
      </c>
      <c r="AC102" s="39"/>
      <c r="AE102" s="28"/>
      <c r="AF102" s="28"/>
      <c r="AG102" s="28"/>
      <c r="AI102" s="28"/>
      <c r="AJ102" s="28"/>
      <c r="AK102" s="28"/>
      <c r="AL102" s="28"/>
    </row>
    <row r="103" customFormat="false" ht="15" hidden="false" customHeight="false" outlineLevel="0" collapsed="false">
      <c r="A103" s="1" t="s">
        <v>127</v>
      </c>
      <c r="B103" s="2" t="s">
        <v>132</v>
      </c>
      <c r="C103" s="2" t="s">
        <v>106</v>
      </c>
      <c r="D103" s="3" t="s">
        <v>61</v>
      </c>
      <c r="E103" s="3" t="s">
        <v>70</v>
      </c>
      <c r="F103" s="3" t="s">
        <v>70</v>
      </c>
      <c r="G103" s="0" t="s">
        <v>128</v>
      </c>
      <c r="H103" s="0" t="n">
        <v>101</v>
      </c>
      <c r="I103" s="20" t="n">
        <v>8</v>
      </c>
      <c r="J103" s="0" t="s">
        <v>78</v>
      </c>
      <c r="K103" s="22" t="n">
        <f aca="false">75/Q103</f>
        <v>20.2702702702703</v>
      </c>
      <c r="O103" s="21" t="n">
        <v>5.8</v>
      </c>
      <c r="P103" s="21" t="n">
        <v>7.8</v>
      </c>
      <c r="Q103" s="21" t="n">
        <v>3.7</v>
      </c>
      <c r="R103" s="0" t="s">
        <v>129</v>
      </c>
      <c r="T103" s="0" t="s">
        <v>65</v>
      </c>
      <c r="W103" s="38" t="n">
        <f aca="false">10.31/(K103*Q103)*100</f>
        <v>13.7466666666667</v>
      </c>
      <c r="Y103" s="0" t="s">
        <v>130</v>
      </c>
      <c r="Z103" s="0" t="s">
        <v>131</v>
      </c>
      <c r="AC103" s="39"/>
      <c r="AE103" s="28"/>
      <c r="AF103" s="28"/>
      <c r="AG103" s="28"/>
      <c r="AI103" s="28"/>
      <c r="AJ103" s="28"/>
      <c r="AK103" s="28"/>
      <c r="AL103" s="28"/>
    </row>
    <row r="104" customFormat="false" ht="15" hidden="false" customHeight="false" outlineLevel="0" collapsed="false">
      <c r="A104" s="1" t="s">
        <v>127</v>
      </c>
      <c r="C104" s="2" t="s">
        <v>106</v>
      </c>
      <c r="D104" s="3" t="s">
        <v>61</v>
      </c>
      <c r="E104" s="3" t="s">
        <v>62</v>
      </c>
      <c r="F104" s="3" t="s">
        <v>62</v>
      </c>
      <c r="G104" s="0" t="s">
        <v>128</v>
      </c>
      <c r="H104" s="0" t="n">
        <v>101</v>
      </c>
      <c r="I104" s="20" t="n">
        <v>12</v>
      </c>
      <c r="J104" s="0" t="s">
        <v>78</v>
      </c>
      <c r="K104" s="22" t="n">
        <f aca="false">75/Q104</f>
        <v>25</v>
      </c>
      <c r="O104" s="21" t="n">
        <v>9.4</v>
      </c>
      <c r="P104" s="21" t="n">
        <v>7.2</v>
      </c>
      <c r="Q104" s="21" t="n">
        <v>3</v>
      </c>
      <c r="R104" s="0" t="s">
        <v>129</v>
      </c>
      <c r="T104" s="0" t="s">
        <v>65</v>
      </c>
      <c r="W104" s="38" t="n">
        <f aca="false">9.67/(K104*Q104)*100</f>
        <v>12.8933333333333</v>
      </c>
      <c r="Y104" s="0" t="s">
        <v>130</v>
      </c>
      <c r="Z104" s="0" t="s">
        <v>131</v>
      </c>
      <c r="AC104" s="39"/>
      <c r="AE104" s="28"/>
      <c r="AF104" s="28"/>
      <c r="AG104" s="28"/>
      <c r="AI104" s="28"/>
      <c r="AJ104" s="28"/>
      <c r="AK104" s="28"/>
      <c r="AL104" s="28"/>
    </row>
    <row r="105" customFormat="false" ht="15" hidden="false" customHeight="false" outlineLevel="0" collapsed="false">
      <c r="A105" s="1" t="s">
        <v>127</v>
      </c>
      <c r="C105" s="2" t="s">
        <v>106</v>
      </c>
      <c r="D105" s="3" t="s">
        <v>61</v>
      </c>
      <c r="E105" s="3" t="s">
        <v>62</v>
      </c>
      <c r="F105" s="3" t="s">
        <v>62</v>
      </c>
      <c r="G105" s="0" t="s">
        <v>128</v>
      </c>
      <c r="H105" s="0" t="n">
        <v>101</v>
      </c>
      <c r="I105" s="20" t="n">
        <v>9</v>
      </c>
      <c r="J105" s="0" t="s">
        <v>78</v>
      </c>
      <c r="K105" s="22" t="n">
        <f aca="false">75/Q105</f>
        <v>25</v>
      </c>
      <c r="O105" s="21" t="n">
        <v>9.4</v>
      </c>
      <c r="P105" s="21" t="n">
        <v>7.2</v>
      </c>
      <c r="Q105" s="21" t="n">
        <v>3</v>
      </c>
      <c r="R105" s="0" t="s">
        <v>129</v>
      </c>
      <c r="T105" s="0" t="s">
        <v>65</v>
      </c>
      <c r="W105" s="38" t="n">
        <f aca="false">9.67/(K105*Q105)*100</f>
        <v>12.8933333333333</v>
      </c>
      <c r="Y105" s="0" t="s">
        <v>130</v>
      </c>
      <c r="Z105" s="0" t="s">
        <v>131</v>
      </c>
      <c r="AC105" s="39"/>
      <c r="AE105" s="28"/>
      <c r="AF105" s="28"/>
      <c r="AG105" s="28"/>
      <c r="AI105" s="28"/>
      <c r="AJ105" s="28"/>
      <c r="AK105" s="28"/>
      <c r="AL105" s="28"/>
    </row>
    <row r="106" customFormat="false" ht="15" hidden="false" customHeight="false" outlineLevel="0" collapsed="false">
      <c r="A106" s="1" t="s">
        <v>127</v>
      </c>
      <c r="C106" s="2" t="s">
        <v>106</v>
      </c>
      <c r="D106" s="3" t="s">
        <v>61</v>
      </c>
      <c r="E106" s="3" t="s">
        <v>62</v>
      </c>
      <c r="F106" s="3" t="s">
        <v>62</v>
      </c>
      <c r="G106" s="0" t="s">
        <v>128</v>
      </c>
      <c r="H106" s="0" t="n">
        <v>101</v>
      </c>
      <c r="I106" s="20" t="n">
        <v>10</v>
      </c>
      <c r="J106" s="0" t="s">
        <v>78</v>
      </c>
      <c r="K106" s="22" t="n">
        <f aca="false">75/Q106</f>
        <v>25</v>
      </c>
      <c r="O106" s="21" t="n">
        <v>9.4</v>
      </c>
      <c r="P106" s="21" t="n">
        <v>7.2</v>
      </c>
      <c r="Q106" s="21" t="n">
        <v>3</v>
      </c>
      <c r="R106" s="0" t="s">
        <v>129</v>
      </c>
      <c r="T106" s="0" t="s">
        <v>65</v>
      </c>
      <c r="W106" s="38" t="n">
        <f aca="false">9.67/(K106*Q106)*100</f>
        <v>12.8933333333333</v>
      </c>
      <c r="Y106" s="0" t="s">
        <v>130</v>
      </c>
      <c r="Z106" s="0" t="s">
        <v>131</v>
      </c>
      <c r="AC106" s="39"/>
      <c r="AE106" s="28"/>
      <c r="AF106" s="28"/>
      <c r="AG106" s="28"/>
      <c r="AI106" s="28"/>
      <c r="AJ106" s="28"/>
      <c r="AK106" s="28"/>
      <c r="AL106" s="28"/>
    </row>
    <row r="107" customFormat="false" ht="15" hidden="false" customHeight="false" outlineLevel="0" collapsed="false">
      <c r="A107" s="1" t="s">
        <v>127</v>
      </c>
      <c r="C107" s="2" t="s">
        <v>106</v>
      </c>
      <c r="D107" s="3" t="s">
        <v>61</v>
      </c>
      <c r="E107" s="3" t="s">
        <v>62</v>
      </c>
      <c r="F107" s="3" t="s">
        <v>62</v>
      </c>
      <c r="G107" s="0" t="s">
        <v>128</v>
      </c>
      <c r="H107" s="0" t="n">
        <v>101</v>
      </c>
      <c r="I107" s="20" t="n">
        <v>11</v>
      </c>
      <c r="J107" s="0" t="s">
        <v>78</v>
      </c>
      <c r="K107" s="22" t="n">
        <f aca="false">75/Q107</f>
        <v>25</v>
      </c>
      <c r="O107" s="21" t="n">
        <v>9.4</v>
      </c>
      <c r="P107" s="21" t="n">
        <v>7.2</v>
      </c>
      <c r="Q107" s="21" t="n">
        <v>3</v>
      </c>
      <c r="R107" s="0" t="s">
        <v>129</v>
      </c>
      <c r="T107" s="0" t="s">
        <v>65</v>
      </c>
      <c r="W107" s="38" t="n">
        <f aca="false">9.67/(K107*Q107)*100</f>
        <v>12.8933333333333</v>
      </c>
      <c r="Y107" s="0" t="s">
        <v>130</v>
      </c>
      <c r="Z107" s="0" t="s">
        <v>131</v>
      </c>
      <c r="AC107" s="39"/>
      <c r="AE107" s="28"/>
      <c r="AF107" s="28"/>
      <c r="AG107" s="28"/>
      <c r="AI107" s="28"/>
      <c r="AJ107" s="28"/>
      <c r="AK107" s="28"/>
      <c r="AL107" s="28"/>
    </row>
    <row r="108" customFormat="false" ht="15" hidden="false" customHeight="false" outlineLevel="0" collapsed="false">
      <c r="A108" s="1" t="s">
        <v>127</v>
      </c>
      <c r="B108" s="2" t="s">
        <v>132</v>
      </c>
      <c r="C108" s="2" t="s">
        <v>106</v>
      </c>
      <c r="D108" s="3" t="s">
        <v>61</v>
      </c>
      <c r="E108" s="3" t="s">
        <v>70</v>
      </c>
      <c r="F108" s="3" t="s">
        <v>70</v>
      </c>
      <c r="G108" s="0" t="s">
        <v>128</v>
      </c>
      <c r="H108" s="0" t="n">
        <v>101</v>
      </c>
      <c r="I108" s="20" t="n">
        <v>12</v>
      </c>
      <c r="J108" s="0" t="s">
        <v>78</v>
      </c>
      <c r="K108" s="22" t="n">
        <f aca="false">75/Q108</f>
        <v>25</v>
      </c>
      <c r="O108" s="21" t="n">
        <v>8.4</v>
      </c>
      <c r="P108" s="21" t="n">
        <v>7.2</v>
      </c>
      <c r="Q108" s="21" t="n">
        <v>3</v>
      </c>
      <c r="R108" s="0" t="s">
        <v>129</v>
      </c>
      <c r="T108" s="0" t="s">
        <v>65</v>
      </c>
      <c r="W108" s="38" t="n">
        <f aca="false">5.14/(K108*Q108)*100</f>
        <v>6.85333333333333</v>
      </c>
      <c r="Y108" s="0" t="s">
        <v>130</v>
      </c>
      <c r="Z108" s="0" t="s">
        <v>131</v>
      </c>
      <c r="AC108" s="39"/>
      <c r="AE108" s="28"/>
      <c r="AF108" s="28"/>
      <c r="AG108" s="28"/>
      <c r="AI108" s="28"/>
      <c r="AJ108" s="28"/>
      <c r="AK108" s="28"/>
      <c r="AL108" s="28"/>
    </row>
    <row r="109" customFormat="false" ht="15" hidden="false" customHeight="false" outlineLevel="0" collapsed="false">
      <c r="A109" s="1" t="s">
        <v>127</v>
      </c>
      <c r="B109" s="2" t="s">
        <v>132</v>
      </c>
      <c r="C109" s="2" t="s">
        <v>106</v>
      </c>
      <c r="D109" s="3" t="s">
        <v>61</v>
      </c>
      <c r="E109" s="3" t="s">
        <v>70</v>
      </c>
      <c r="F109" s="3" t="s">
        <v>70</v>
      </c>
      <c r="G109" s="0" t="s">
        <v>128</v>
      </c>
      <c r="H109" s="0" t="n">
        <v>101</v>
      </c>
      <c r="I109" s="20" t="n">
        <v>9</v>
      </c>
      <c r="J109" s="0" t="s">
        <v>78</v>
      </c>
      <c r="K109" s="22" t="n">
        <f aca="false">75/Q109</f>
        <v>25</v>
      </c>
      <c r="O109" s="21" t="n">
        <v>8</v>
      </c>
      <c r="P109" s="21" t="n">
        <v>7.2</v>
      </c>
      <c r="Q109" s="21" t="n">
        <v>3</v>
      </c>
      <c r="R109" s="0" t="s">
        <v>129</v>
      </c>
      <c r="T109" s="0" t="s">
        <v>65</v>
      </c>
      <c r="W109" s="38" t="n">
        <f aca="false">5.53/(K109*Q109)*100</f>
        <v>7.37333333333333</v>
      </c>
      <c r="Y109" s="0" t="s">
        <v>130</v>
      </c>
      <c r="Z109" s="0" t="s">
        <v>131</v>
      </c>
      <c r="AC109" s="39"/>
      <c r="AE109" s="28"/>
      <c r="AF109" s="28"/>
      <c r="AG109" s="28"/>
      <c r="AI109" s="28"/>
      <c r="AJ109" s="28"/>
      <c r="AK109" s="28"/>
      <c r="AL109" s="28"/>
    </row>
    <row r="110" customFormat="false" ht="15" hidden="false" customHeight="false" outlineLevel="0" collapsed="false">
      <c r="A110" s="1" t="s">
        <v>127</v>
      </c>
      <c r="B110" s="2" t="s">
        <v>132</v>
      </c>
      <c r="C110" s="2" t="s">
        <v>106</v>
      </c>
      <c r="D110" s="3" t="s">
        <v>61</v>
      </c>
      <c r="E110" s="3" t="s">
        <v>70</v>
      </c>
      <c r="F110" s="3" t="s">
        <v>70</v>
      </c>
      <c r="G110" s="0" t="s">
        <v>128</v>
      </c>
      <c r="H110" s="0" t="n">
        <v>101</v>
      </c>
      <c r="I110" s="20" t="n">
        <v>10</v>
      </c>
      <c r="J110" s="0" t="s">
        <v>78</v>
      </c>
      <c r="K110" s="22" t="n">
        <f aca="false">75/Q110</f>
        <v>25</v>
      </c>
      <c r="O110" s="21" t="n">
        <v>6.8</v>
      </c>
      <c r="P110" s="21" t="n">
        <v>7.3</v>
      </c>
      <c r="Q110" s="21" t="n">
        <v>3</v>
      </c>
      <c r="R110" s="0" t="s">
        <v>129</v>
      </c>
      <c r="T110" s="0" t="s">
        <v>65</v>
      </c>
      <c r="W110" s="38" t="n">
        <f aca="false">3.17/(K110*Q110)*100</f>
        <v>4.22666666666667</v>
      </c>
      <c r="Y110" s="0" t="s">
        <v>130</v>
      </c>
      <c r="Z110" s="0" t="s">
        <v>131</v>
      </c>
      <c r="AC110" s="39"/>
      <c r="AE110" s="28"/>
      <c r="AF110" s="28"/>
      <c r="AG110" s="28"/>
      <c r="AI110" s="28"/>
      <c r="AJ110" s="28"/>
      <c r="AK110" s="28"/>
      <c r="AL110" s="28"/>
    </row>
    <row r="111" customFormat="false" ht="15" hidden="false" customHeight="false" outlineLevel="0" collapsed="false">
      <c r="A111" s="1" t="s">
        <v>127</v>
      </c>
      <c r="B111" s="2" t="s">
        <v>132</v>
      </c>
      <c r="C111" s="2" t="s">
        <v>106</v>
      </c>
      <c r="D111" s="3" t="s">
        <v>61</v>
      </c>
      <c r="E111" s="3" t="s">
        <v>70</v>
      </c>
      <c r="F111" s="3" t="s">
        <v>70</v>
      </c>
      <c r="G111" s="0" t="s">
        <v>128</v>
      </c>
      <c r="H111" s="0" t="n">
        <v>101</v>
      </c>
      <c r="I111" s="20" t="n">
        <v>11</v>
      </c>
      <c r="J111" s="0" t="s">
        <v>78</v>
      </c>
      <c r="K111" s="22" t="n">
        <f aca="false">75/Q111</f>
        <v>25.8620689655172</v>
      </c>
      <c r="O111" s="21" t="n">
        <v>5.9</v>
      </c>
      <c r="P111" s="21" t="n">
        <v>7.4</v>
      </c>
      <c r="Q111" s="21" t="n">
        <v>2.9</v>
      </c>
      <c r="R111" s="0" t="s">
        <v>129</v>
      </c>
      <c r="T111" s="0" t="s">
        <v>65</v>
      </c>
      <c r="W111" s="38" t="n">
        <f aca="false">0.83/(K111*Q111)*100</f>
        <v>1.10666666666667</v>
      </c>
      <c r="Y111" s="0" t="s">
        <v>130</v>
      </c>
      <c r="Z111" s="0" t="s">
        <v>131</v>
      </c>
      <c r="AC111" s="39"/>
      <c r="AE111" s="28"/>
      <c r="AF111" s="28"/>
      <c r="AG111" s="28"/>
      <c r="AI111" s="28"/>
      <c r="AJ111" s="28"/>
      <c r="AK111" s="28"/>
      <c r="AL111" s="28"/>
    </row>
    <row r="112" customFormat="false" ht="15" hidden="false" customHeight="true" outlineLevel="0" collapsed="false">
      <c r="A112" s="37" t="s">
        <v>133</v>
      </c>
      <c r="C112" s="2" t="s">
        <v>94</v>
      </c>
      <c r="D112" s="3" t="s">
        <v>77</v>
      </c>
      <c r="E112" s="3" t="s">
        <v>62</v>
      </c>
      <c r="F112" s="3" t="s">
        <v>62</v>
      </c>
      <c r="G112" s="0" t="s">
        <v>134</v>
      </c>
      <c r="H112" s="0" t="n">
        <v>77</v>
      </c>
      <c r="I112" s="20" t="n">
        <v>1</v>
      </c>
      <c r="J112" s="0" t="s">
        <v>64</v>
      </c>
      <c r="K112" s="27" t="n">
        <v>30</v>
      </c>
      <c r="L112" s="0" t="n">
        <v>22</v>
      </c>
      <c r="M112" s="0" t="n">
        <v>19.6</v>
      </c>
      <c r="N112" s="0" t="n">
        <v>0</v>
      </c>
      <c r="O112" s="40" t="n">
        <v>4.11</v>
      </c>
      <c r="P112" s="40" t="n">
        <v>7.45</v>
      </c>
      <c r="Q112" s="21" t="n">
        <v>3.1</v>
      </c>
      <c r="R112" s="0" t="s">
        <v>135</v>
      </c>
      <c r="S112" s="0" t="n">
        <v>6</v>
      </c>
      <c r="T112" s="0" t="s">
        <v>88</v>
      </c>
      <c r="U112" s="0" t="n">
        <v>1.35</v>
      </c>
      <c r="V112" s="0" t="n">
        <v>0.12</v>
      </c>
      <c r="W112" s="0" t="n">
        <v>26.08</v>
      </c>
      <c r="Y112" s="0" t="s">
        <v>136</v>
      </c>
      <c r="Z112" s="0" t="s">
        <v>137</v>
      </c>
      <c r="AB112" s="26"/>
      <c r="AC112" s="39"/>
      <c r="AE112" s="28"/>
      <c r="AF112" s="28"/>
      <c r="AG112" s="28"/>
      <c r="AI112" s="28"/>
      <c r="AJ112" s="28"/>
      <c r="AK112" s="28"/>
      <c r="AL112" s="28"/>
    </row>
    <row r="113" customFormat="false" ht="15" hidden="false" customHeight="true" outlineLevel="0" collapsed="false">
      <c r="A113" s="37" t="s">
        <v>133</v>
      </c>
      <c r="C113" s="2" t="s">
        <v>94</v>
      </c>
      <c r="D113" s="3" t="s">
        <v>77</v>
      </c>
      <c r="E113" s="3" t="s">
        <v>62</v>
      </c>
      <c r="F113" s="3" t="s">
        <v>62</v>
      </c>
      <c r="G113" s="0" t="s">
        <v>134</v>
      </c>
      <c r="H113" s="0" t="n">
        <v>77</v>
      </c>
      <c r="I113" s="20" t="n">
        <v>3</v>
      </c>
      <c r="J113" s="0" t="s">
        <v>64</v>
      </c>
      <c r="K113" s="27" t="n">
        <v>30</v>
      </c>
      <c r="L113" s="0" t="n">
        <v>22</v>
      </c>
      <c r="M113" s="0" t="n">
        <v>19.6</v>
      </c>
      <c r="N113" s="0" t="n">
        <v>0</v>
      </c>
      <c r="O113" s="40" t="n">
        <v>4.11</v>
      </c>
      <c r="P113" s="40" t="n">
        <v>7.45</v>
      </c>
      <c r="Q113" s="21" t="n">
        <v>3.1</v>
      </c>
      <c r="R113" s="0" t="s">
        <v>135</v>
      </c>
      <c r="S113" s="0" t="n">
        <v>6</v>
      </c>
      <c r="T113" s="0" t="s">
        <v>88</v>
      </c>
      <c r="U113" s="0" t="n">
        <v>1.35</v>
      </c>
      <c r="V113" s="0" t="n">
        <v>0.12</v>
      </c>
      <c r="W113" s="0" t="n">
        <v>26.08</v>
      </c>
      <c r="Y113" s="0" t="s">
        <v>136</v>
      </c>
      <c r="Z113" s="0" t="s">
        <v>137</v>
      </c>
      <c r="AB113" s="26"/>
      <c r="AC113" s="39"/>
      <c r="AE113" s="28"/>
      <c r="AF113" s="28"/>
      <c r="AG113" s="28"/>
      <c r="AI113" s="28"/>
      <c r="AJ113" s="28"/>
      <c r="AK113" s="28"/>
      <c r="AL113" s="28"/>
    </row>
    <row r="114" customFormat="false" ht="15" hidden="false" customHeight="true" outlineLevel="0" collapsed="false">
      <c r="A114" s="37" t="s">
        <v>133</v>
      </c>
      <c r="C114" s="2" t="s">
        <v>94</v>
      </c>
      <c r="D114" s="3" t="s">
        <v>77</v>
      </c>
      <c r="E114" s="3" t="s">
        <v>62</v>
      </c>
      <c r="F114" s="3" t="s">
        <v>62</v>
      </c>
      <c r="G114" s="0" t="s">
        <v>134</v>
      </c>
      <c r="H114" s="0" t="n">
        <v>77</v>
      </c>
      <c r="I114" s="20" t="n">
        <v>4</v>
      </c>
      <c r="J114" s="0" t="s">
        <v>64</v>
      </c>
      <c r="K114" s="27" t="n">
        <v>30</v>
      </c>
      <c r="L114" s="0" t="n">
        <v>22</v>
      </c>
      <c r="M114" s="0" t="n">
        <v>19.6</v>
      </c>
      <c r="N114" s="0" t="n">
        <v>0</v>
      </c>
      <c r="O114" s="40" t="n">
        <v>4.11</v>
      </c>
      <c r="P114" s="40" t="n">
        <v>7.45</v>
      </c>
      <c r="Q114" s="21" t="n">
        <v>3.1</v>
      </c>
      <c r="R114" s="0" t="s">
        <v>135</v>
      </c>
      <c r="S114" s="0" t="n">
        <v>6</v>
      </c>
      <c r="T114" s="0" t="s">
        <v>88</v>
      </c>
      <c r="U114" s="0" t="n">
        <v>1.35</v>
      </c>
      <c r="V114" s="0" t="n">
        <v>0.12</v>
      </c>
      <c r="W114" s="0" t="n">
        <v>26.08</v>
      </c>
      <c r="Y114" s="0" t="s">
        <v>136</v>
      </c>
      <c r="Z114" s="0" t="s">
        <v>137</v>
      </c>
      <c r="AB114" s="26"/>
      <c r="AC114" s="39"/>
      <c r="AE114" s="28"/>
      <c r="AF114" s="28"/>
      <c r="AG114" s="28"/>
      <c r="AI114" s="28"/>
      <c r="AJ114" s="28"/>
      <c r="AK114" s="28"/>
      <c r="AL114" s="28"/>
    </row>
    <row r="115" customFormat="false" ht="15" hidden="false" customHeight="true" outlineLevel="0" collapsed="false">
      <c r="A115" s="37" t="s">
        <v>133</v>
      </c>
      <c r="B115" s="2" t="s">
        <v>138</v>
      </c>
      <c r="C115" s="2" t="s">
        <v>94</v>
      </c>
      <c r="D115" s="3" t="s">
        <v>77</v>
      </c>
      <c r="E115" s="3" t="s">
        <v>70</v>
      </c>
      <c r="F115" s="3" t="s">
        <v>70</v>
      </c>
      <c r="G115" s="0" t="s">
        <v>134</v>
      </c>
      <c r="H115" s="0" t="n">
        <v>77</v>
      </c>
      <c r="I115" s="20" t="n">
        <v>1</v>
      </c>
      <c r="J115" s="0" t="s">
        <v>64</v>
      </c>
      <c r="K115" s="27" t="n">
        <v>30</v>
      </c>
      <c r="L115" s="0" t="n">
        <v>22</v>
      </c>
      <c r="M115" s="0" t="n">
        <v>19.6</v>
      </c>
      <c r="N115" s="0" t="n">
        <v>0</v>
      </c>
      <c r="O115" s="40" t="n">
        <v>0.91</v>
      </c>
      <c r="P115" s="40" t="n">
        <v>7.88</v>
      </c>
      <c r="Q115" s="21" t="n">
        <v>2</v>
      </c>
      <c r="R115" s="0" t="s">
        <v>135</v>
      </c>
      <c r="S115" s="0" t="n">
        <v>6</v>
      </c>
      <c r="T115" s="0" t="s">
        <v>88</v>
      </c>
      <c r="U115" s="0" t="n">
        <v>1.35</v>
      </c>
      <c r="V115" s="0" t="n">
        <v>0.12</v>
      </c>
      <c r="W115" s="0" t="n">
        <v>19.57</v>
      </c>
      <c r="Y115" s="0" t="s">
        <v>136</v>
      </c>
      <c r="Z115" s="0" t="s">
        <v>137</v>
      </c>
      <c r="AB115" s="26"/>
      <c r="AE115" s="28"/>
      <c r="AF115" s="28"/>
      <c r="AG115" s="28"/>
      <c r="AI115" s="28"/>
      <c r="AJ115" s="28"/>
      <c r="AK115" s="28"/>
      <c r="AL115" s="28"/>
    </row>
    <row r="116" customFormat="false" ht="15" hidden="false" customHeight="true" outlineLevel="0" collapsed="false">
      <c r="A116" s="37" t="s">
        <v>133</v>
      </c>
      <c r="B116" s="2" t="s">
        <v>139</v>
      </c>
      <c r="C116" s="2" t="s">
        <v>94</v>
      </c>
      <c r="D116" s="3" t="s">
        <v>77</v>
      </c>
      <c r="E116" s="3" t="s">
        <v>70</v>
      </c>
      <c r="F116" s="3" t="s">
        <v>70</v>
      </c>
      <c r="G116" s="0" t="s">
        <v>134</v>
      </c>
      <c r="H116" s="0" t="n">
        <v>77</v>
      </c>
      <c r="I116" s="20" t="n">
        <v>3</v>
      </c>
      <c r="J116" s="0" t="s">
        <v>64</v>
      </c>
      <c r="K116" s="27" t="n">
        <v>30</v>
      </c>
      <c r="L116" s="0" t="n">
        <v>22</v>
      </c>
      <c r="M116" s="0" t="n">
        <v>19.6</v>
      </c>
      <c r="N116" s="0" t="n">
        <v>0</v>
      </c>
      <c r="O116" s="40" t="n">
        <v>0.63</v>
      </c>
      <c r="P116" s="40" t="n">
        <v>7.75</v>
      </c>
      <c r="Q116" s="21" t="n">
        <v>1.9</v>
      </c>
      <c r="R116" s="0" t="s">
        <v>135</v>
      </c>
      <c r="S116" s="0" t="n">
        <v>6</v>
      </c>
      <c r="T116" s="0" t="s">
        <v>88</v>
      </c>
      <c r="U116" s="0" t="n">
        <v>1.35</v>
      </c>
      <c r="V116" s="0" t="n">
        <v>0.12</v>
      </c>
      <c r="W116" s="0" t="n">
        <v>17.55</v>
      </c>
      <c r="Y116" s="0" t="s">
        <v>136</v>
      </c>
      <c r="Z116" s="0" t="s">
        <v>137</v>
      </c>
      <c r="AB116" s="26"/>
      <c r="AE116" s="28"/>
      <c r="AF116" s="28"/>
      <c r="AG116" s="28"/>
      <c r="AI116" s="28"/>
      <c r="AJ116" s="28"/>
      <c r="AK116" s="28"/>
      <c r="AL116" s="28"/>
    </row>
    <row r="117" customFormat="false" ht="15" hidden="false" customHeight="true" outlineLevel="0" collapsed="false">
      <c r="A117" s="37" t="s">
        <v>133</v>
      </c>
      <c r="B117" s="2" t="s">
        <v>139</v>
      </c>
      <c r="C117" s="2" t="s">
        <v>94</v>
      </c>
      <c r="D117" s="3" t="s">
        <v>77</v>
      </c>
      <c r="E117" s="3" t="s">
        <v>70</v>
      </c>
      <c r="F117" s="3" t="s">
        <v>70</v>
      </c>
      <c r="G117" s="0" t="s">
        <v>134</v>
      </c>
      <c r="H117" s="0" t="n">
        <v>77</v>
      </c>
      <c r="I117" s="20" t="n">
        <v>4</v>
      </c>
      <c r="J117" s="0" t="s">
        <v>64</v>
      </c>
      <c r="K117" s="27" t="n">
        <v>30</v>
      </c>
      <c r="L117" s="0" t="n">
        <v>22</v>
      </c>
      <c r="M117" s="0" t="n">
        <v>19.6</v>
      </c>
      <c r="N117" s="0" t="n">
        <v>0</v>
      </c>
      <c r="O117" s="40" t="n">
        <v>0.65</v>
      </c>
      <c r="P117" s="40" t="n">
        <v>7.63</v>
      </c>
      <c r="Q117" s="21" t="n">
        <v>2</v>
      </c>
      <c r="R117" s="0" t="s">
        <v>135</v>
      </c>
      <c r="S117" s="0" t="n">
        <v>6</v>
      </c>
      <c r="T117" s="0" t="s">
        <v>88</v>
      </c>
      <c r="U117" s="0" t="n">
        <v>1.35</v>
      </c>
      <c r="V117" s="0" t="n">
        <v>0.12</v>
      </c>
      <c r="W117" s="0" t="n">
        <v>4.32</v>
      </c>
      <c r="Y117" s="0" t="s">
        <v>136</v>
      </c>
      <c r="Z117" s="0" t="s">
        <v>137</v>
      </c>
      <c r="AB117" s="26"/>
      <c r="AE117" s="28"/>
      <c r="AF117" s="28"/>
      <c r="AG117" s="28"/>
      <c r="AI117" s="28"/>
      <c r="AJ117" s="28"/>
      <c r="AK117" s="28"/>
      <c r="AL117" s="28"/>
    </row>
    <row r="118" customFormat="false" ht="15" hidden="false" customHeight="true" outlineLevel="0" collapsed="false">
      <c r="A118" s="37" t="s">
        <v>133</v>
      </c>
      <c r="C118" s="2" t="s">
        <v>94</v>
      </c>
      <c r="D118" s="3" t="s">
        <v>140</v>
      </c>
      <c r="E118" s="3" t="s">
        <v>62</v>
      </c>
      <c r="F118" s="3" t="s">
        <v>62</v>
      </c>
      <c r="G118" s="0" t="s">
        <v>134</v>
      </c>
      <c r="H118" s="0" t="n">
        <v>77</v>
      </c>
      <c r="I118" s="20" t="n">
        <v>2</v>
      </c>
      <c r="J118" s="0" t="s">
        <v>64</v>
      </c>
      <c r="K118" s="27" t="n">
        <v>30</v>
      </c>
      <c r="L118" s="0" t="n">
        <v>22</v>
      </c>
      <c r="M118" s="0" t="n">
        <v>19.6</v>
      </c>
      <c r="N118" s="0" t="n">
        <v>0</v>
      </c>
      <c r="O118" s="40" t="n">
        <v>3.42</v>
      </c>
      <c r="P118" s="40" t="n">
        <v>7.83</v>
      </c>
      <c r="Q118" s="21" t="n">
        <v>3.3</v>
      </c>
      <c r="R118" s="0" t="s">
        <v>135</v>
      </c>
      <c r="S118" s="0" t="n">
        <v>6</v>
      </c>
      <c r="T118" s="0" t="s">
        <v>88</v>
      </c>
      <c r="U118" s="0" t="n">
        <v>1.35</v>
      </c>
      <c r="V118" s="0" t="n">
        <v>0.12</v>
      </c>
      <c r="W118" s="0" t="n">
        <v>28.13</v>
      </c>
      <c r="Y118" s="0" t="s">
        <v>136</v>
      </c>
      <c r="Z118" s="0" t="s">
        <v>137</v>
      </c>
      <c r="AB118" s="26"/>
      <c r="AE118" s="28"/>
      <c r="AF118" s="28"/>
      <c r="AG118" s="28"/>
      <c r="AI118" s="28"/>
      <c r="AJ118" s="28"/>
      <c r="AK118" s="28"/>
      <c r="AL118" s="28"/>
    </row>
    <row r="119" customFormat="false" ht="15" hidden="false" customHeight="true" outlineLevel="0" collapsed="false">
      <c r="A119" s="37" t="s">
        <v>133</v>
      </c>
      <c r="C119" s="2" t="s">
        <v>94</v>
      </c>
      <c r="D119" s="3" t="s">
        <v>140</v>
      </c>
      <c r="E119" s="3" t="s">
        <v>62</v>
      </c>
      <c r="F119" s="3" t="s">
        <v>62</v>
      </c>
      <c r="G119" s="0" t="s">
        <v>134</v>
      </c>
      <c r="H119" s="0" t="n">
        <v>77</v>
      </c>
      <c r="I119" s="20" t="n">
        <v>5</v>
      </c>
      <c r="J119" s="0" t="s">
        <v>64</v>
      </c>
      <c r="K119" s="27" t="n">
        <v>30</v>
      </c>
      <c r="L119" s="0" t="n">
        <v>22</v>
      </c>
      <c r="M119" s="0" t="n">
        <v>19.6</v>
      </c>
      <c r="N119" s="0" t="n">
        <v>0</v>
      </c>
      <c r="O119" s="40" t="n">
        <v>3.42</v>
      </c>
      <c r="P119" s="40" t="n">
        <v>7.83</v>
      </c>
      <c r="Q119" s="21" t="n">
        <v>3.3</v>
      </c>
      <c r="R119" s="0" t="s">
        <v>135</v>
      </c>
      <c r="S119" s="0" t="n">
        <v>6</v>
      </c>
      <c r="T119" s="0" t="s">
        <v>88</v>
      </c>
      <c r="U119" s="0" t="n">
        <v>1.35</v>
      </c>
      <c r="V119" s="0" t="n">
        <v>0.12</v>
      </c>
      <c r="W119" s="0" t="n">
        <v>28.13</v>
      </c>
      <c r="Y119" s="0" t="s">
        <v>136</v>
      </c>
      <c r="Z119" s="0" t="s">
        <v>137</v>
      </c>
      <c r="AB119" s="26"/>
      <c r="AE119" s="28"/>
      <c r="AF119" s="28"/>
      <c r="AG119" s="28"/>
      <c r="AI119" s="28"/>
      <c r="AJ119" s="28"/>
      <c r="AK119" s="28"/>
      <c r="AL119" s="28"/>
    </row>
    <row r="120" customFormat="false" ht="15" hidden="false" customHeight="true" outlineLevel="0" collapsed="false">
      <c r="A120" s="37" t="s">
        <v>133</v>
      </c>
      <c r="C120" s="2" t="s">
        <v>94</v>
      </c>
      <c r="D120" s="3" t="s">
        <v>140</v>
      </c>
      <c r="E120" s="3" t="s">
        <v>62</v>
      </c>
      <c r="F120" s="3" t="s">
        <v>62</v>
      </c>
      <c r="G120" s="0" t="s">
        <v>134</v>
      </c>
      <c r="H120" s="0" t="n">
        <v>77</v>
      </c>
      <c r="I120" s="20" t="n">
        <v>6</v>
      </c>
      <c r="J120" s="0" t="s">
        <v>64</v>
      </c>
      <c r="K120" s="27" t="n">
        <v>30</v>
      </c>
      <c r="L120" s="0" t="n">
        <v>22</v>
      </c>
      <c r="M120" s="0" t="n">
        <v>19.6</v>
      </c>
      <c r="N120" s="0" t="n">
        <v>0</v>
      </c>
      <c r="O120" s="40" t="n">
        <v>3.42</v>
      </c>
      <c r="P120" s="40" t="n">
        <v>7.83</v>
      </c>
      <c r="Q120" s="21" t="n">
        <v>3.3</v>
      </c>
      <c r="R120" s="0" t="s">
        <v>135</v>
      </c>
      <c r="S120" s="0" t="n">
        <v>6</v>
      </c>
      <c r="T120" s="0" t="s">
        <v>88</v>
      </c>
      <c r="U120" s="0" t="n">
        <v>1.35</v>
      </c>
      <c r="V120" s="0" t="n">
        <v>0.12</v>
      </c>
      <c r="W120" s="0" t="n">
        <v>28.13</v>
      </c>
      <c r="Y120" s="0" t="s">
        <v>136</v>
      </c>
      <c r="Z120" s="0" t="s">
        <v>137</v>
      </c>
      <c r="AB120" s="26"/>
      <c r="AE120" s="28"/>
      <c r="AF120" s="28"/>
      <c r="AG120" s="28"/>
      <c r="AI120" s="28"/>
      <c r="AJ120" s="28"/>
      <c r="AK120" s="28"/>
      <c r="AL120" s="28"/>
    </row>
    <row r="121" customFormat="false" ht="15" hidden="false" customHeight="true" outlineLevel="0" collapsed="false">
      <c r="A121" s="37" t="s">
        <v>133</v>
      </c>
      <c r="B121" s="2" t="s">
        <v>138</v>
      </c>
      <c r="C121" s="2" t="s">
        <v>94</v>
      </c>
      <c r="D121" s="3" t="s">
        <v>140</v>
      </c>
      <c r="E121" s="3" t="s">
        <v>70</v>
      </c>
      <c r="F121" s="3" t="s">
        <v>70</v>
      </c>
      <c r="G121" s="0" t="s">
        <v>134</v>
      </c>
      <c r="H121" s="0" t="n">
        <v>77</v>
      </c>
      <c r="I121" s="20" t="n">
        <v>2</v>
      </c>
      <c r="J121" s="0" t="s">
        <v>64</v>
      </c>
      <c r="K121" s="27" t="n">
        <v>30</v>
      </c>
      <c r="L121" s="0" t="n">
        <v>22</v>
      </c>
      <c r="M121" s="0" t="n">
        <v>19.6</v>
      </c>
      <c r="N121" s="0" t="n">
        <v>0</v>
      </c>
      <c r="O121" s="40" t="n">
        <v>0.62</v>
      </c>
      <c r="P121" s="40" t="n">
        <v>8.27</v>
      </c>
      <c r="Q121" s="21" t="n">
        <v>2.5</v>
      </c>
      <c r="R121" s="0" t="s">
        <v>135</v>
      </c>
      <c r="S121" s="0" t="n">
        <v>6</v>
      </c>
      <c r="T121" s="0" t="s">
        <v>88</v>
      </c>
      <c r="U121" s="0" t="n">
        <v>1.35</v>
      </c>
      <c r="V121" s="0" t="n">
        <v>0.12</v>
      </c>
      <c r="W121" s="0" t="n">
        <v>25.46</v>
      </c>
      <c r="Y121" s="0" t="s">
        <v>136</v>
      </c>
      <c r="Z121" s="0" t="s">
        <v>137</v>
      </c>
      <c r="AB121" s="26"/>
      <c r="AE121" s="28"/>
      <c r="AF121" s="28"/>
      <c r="AG121" s="28"/>
      <c r="AI121" s="28"/>
      <c r="AJ121" s="28"/>
      <c r="AK121" s="28"/>
      <c r="AL121" s="28"/>
    </row>
    <row r="122" customFormat="false" ht="15" hidden="false" customHeight="true" outlineLevel="0" collapsed="false">
      <c r="A122" s="37" t="s">
        <v>133</v>
      </c>
      <c r="B122" s="2" t="s">
        <v>139</v>
      </c>
      <c r="C122" s="2" t="s">
        <v>94</v>
      </c>
      <c r="D122" s="3" t="s">
        <v>140</v>
      </c>
      <c r="E122" s="3" t="s">
        <v>70</v>
      </c>
      <c r="F122" s="3" t="s">
        <v>70</v>
      </c>
      <c r="G122" s="0" t="s">
        <v>134</v>
      </c>
      <c r="H122" s="0" t="n">
        <v>77</v>
      </c>
      <c r="I122" s="20" t="n">
        <v>5</v>
      </c>
      <c r="J122" s="0" t="s">
        <v>64</v>
      </c>
      <c r="K122" s="27" t="n">
        <v>30</v>
      </c>
      <c r="L122" s="0" t="n">
        <v>22</v>
      </c>
      <c r="M122" s="0" t="n">
        <v>19.6</v>
      </c>
      <c r="N122" s="0" t="n">
        <v>0</v>
      </c>
      <c r="O122" s="40" t="n">
        <v>1.11</v>
      </c>
      <c r="P122" s="40" t="n">
        <v>8.04</v>
      </c>
      <c r="Q122" s="21" t="n">
        <v>2.6</v>
      </c>
      <c r="R122" s="0" t="s">
        <v>135</v>
      </c>
      <c r="S122" s="0" t="n">
        <v>6</v>
      </c>
      <c r="T122" s="0" t="s">
        <v>88</v>
      </c>
      <c r="U122" s="0" t="n">
        <v>1.35</v>
      </c>
      <c r="V122" s="0" t="n">
        <v>0.12</v>
      </c>
      <c r="W122" s="0" t="n">
        <v>21.15</v>
      </c>
      <c r="Y122" s="0" t="s">
        <v>136</v>
      </c>
      <c r="Z122" s="0" t="s">
        <v>137</v>
      </c>
      <c r="AB122" s="26"/>
      <c r="AE122" s="28"/>
      <c r="AF122" s="28"/>
      <c r="AG122" s="28"/>
      <c r="AI122" s="28"/>
      <c r="AJ122" s="28"/>
      <c r="AK122" s="28"/>
      <c r="AL122" s="28"/>
    </row>
    <row r="123" customFormat="false" ht="15" hidden="false" customHeight="true" outlineLevel="0" collapsed="false">
      <c r="A123" s="37" t="s">
        <v>133</v>
      </c>
      <c r="B123" s="2" t="s">
        <v>139</v>
      </c>
      <c r="C123" s="2" t="s">
        <v>94</v>
      </c>
      <c r="D123" s="3" t="s">
        <v>140</v>
      </c>
      <c r="E123" s="3" t="s">
        <v>70</v>
      </c>
      <c r="F123" s="3" t="s">
        <v>70</v>
      </c>
      <c r="G123" s="0" t="s">
        <v>134</v>
      </c>
      <c r="H123" s="0" t="n">
        <v>77</v>
      </c>
      <c r="I123" s="20" t="n">
        <v>6</v>
      </c>
      <c r="J123" s="0" t="s">
        <v>64</v>
      </c>
      <c r="K123" s="27" t="n">
        <v>30</v>
      </c>
      <c r="L123" s="0" t="n">
        <v>22</v>
      </c>
      <c r="M123" s="0" t="n">
        <v>19.6</v>
      </c>
      <c r="N123" s="0" t="n">
        <v>0</v>
      </c>
      <c r="O123" s="40" t="n">
        <v>1</v>
      </c>
      <c r="P123" s="40" t="n">
        <v>7.93</v>
      </c>
      <c r="Q123" s="21" t="n">
        <v>2.9</v>
      </c>
      <c r="R123" s="0" t="s">
        <v>135</v>
      </c>
      <c r="S123" s="0" t="n">
        <v>6</v>
      </c>
      <c r="T123" s="0" t="s">
        <v>88</v>
      </c>
      <c r="U123" s="0" t="n">
        <v>1.35</v>
      </c>
      <c r="V123" s="0" t="n">
        <v>0.12</v>
      </c>
      <c r="W123" s="0" t="n">
        <v>15.5</v>
      </c>
      <c r="Y123" s="0" t="s">
        <v>136</v>
      </c>
      <c r="Z123" s="0" t="s">
        <v>137</v>
      </c>
      <c r="AB123" s="26"/>
      <c r="AE123" s="28"/>
      <c r="AF123" s="28"/>
      <c r="AG123" s="28"/>
      <c r="AI123" s="28"/>
      <c r="AJ123" s="28"/>
      <c r="AK123" s="28"/>
      <c r="AL123" s="28"/>
    </row>
    <row r="124" customFormat="false" ht="15" hidden="false" customHeight="true" outlineLevel="0" collapsed="false">
      <c r="A124" s="1" t="s">
        <v>141</v>
      </c>
      <c r="C124" s="2" t="s">
        <v>106</v>
      </c>
      <c r="D124" s="3" t="s">
        <v>77</v>
      </c>
      <c r="E124" s="3" t="s">
        <v>62</v>
      </c>
      <c r="F124" s="3" t="s">
        <v>62</v>
      </c>
      <c r="G124" s="0" t="s">
        <v>134</v>
      </c>
      <c r="H124" s="0" t="n">
        <v>50</v>
      </c>
      <c r="I124" s="20" t="n">
        <v>1</v>
      </c>
      <c r="J124" s="0" t="s">
        <v>78</v>
      </c>
      <c r="K124" s="27"/>
      <c r="L124" s="0" t="n">
        <v>20</v>
      </c>
      <c r="M124" s="0" t="n">
        <v>20</v>
      </c>
      <c r="N124" s="0" t="n">
        <v>0</v>
      </c>
      <c r="O124" s="21" t="n">
        <v>2.8</v>
      </c>
      <c r="P124" s="21" t="n">
        <v>8.3</v>
      </c>
      <c r="Q124" s="21" t="n">
        <v>2.9</v>
      </c>
      <c r="R124" s="0" t="s">
        <v>142</v>
      </c>
      <c r="T124" s="0" t="s">
        <v>88</v>
      </c>
      <c r="W124" s="0" t="n">
        <v>26</v>
      </c>
      <c r="Y124" s="0" t="s">
        <v>84</v>
      </c>
      <c r="Z124" s="23" t="s">
        <v>143</v>
      </c>
      <c r="AE124" s="28"/>
      <c r="AF124" s="28"/>
      <c r="AG124" s="28"/>
      <c r="AI124" s="28"/>
      <c r="AJ124" s="28"/>
      <c r="AK124" s="28"/>
      <c r="AL124" s="28"/>
    </row>
    <row r="125" customFormat="false" ht="15" hidden="false" customHeight="true" outlineLevel="0" collapsed="false">
      <c r="A125" s="1" t="s">
        <v>141</v>
      </c>
      <c r="B125" s="2" t="s">
        <v>120</v>
      </c>
      <c r="C125" s="2" t="s">
        <v>106</v>
      </c>
      <c r="D125" s="3" t="s">
        <v>77</v>
      </c>
      <c r="E125" s="3" t="s">
        <v>70</v>
      </c>
      <c r="F125" s="3" t="s">
        <v>70</v>
      </c>
      <c r="G125" s="0" t="s">
        <v>134</v>
      </c>
      <c r="H125" s="0" t="n">
        <v>50</v>
      </c>
      <c r="I125" s="20" t="n">
        <v>1</v>
      </c>
      <c r="J125" s="0" t="s">
        <v>78</v>
      </c>
      <c r="K125" s="27"/>
      <c r="L125" s="0" t="n">
        <v>20</v>
      </c>
      <c r="M125" s="0" t="n">
        <v>20</v>
      </c>
      <c r="N125" s="0" t="n">
        <v>0</v>
      </c>
      <c r="O125" s="21" t="n">
        <v>1.3</v>
      </c>
      <c r="P125" s="21" t="n">
        <v>8.5</v>
      </c>
      <c r="Q125" s="21" t="n">
        <v>2</v>
      </c>
      <c r="R125" s="0" t="s">
        <v>142</v>
      </c>
      <c r="T125" s="0" t="s">
        <v>88</v>
      </c>
      <c r="W125" s="0" t="n">
        <v>13</v>
      </c>
      <c r="Y125" s="0" t="s">
        <v>84</v>
      </c>
      <c r="Z125" s="23" t="s">
        <v>143</v>
      </c>
      <c r="AE125" s="28"/>
      <c r="AF125" s="28"/>
      <c r="AG125" s="28"/>
      <c r="AI125" s="28"/>
      <c r="AJ125" s="28"/>
      <c r="AK125" s="28"/>
      <c r="AL125" s="28"/>
    </row>
    <row r="126" customFormat="false" ht="15" hidden="false" customHeight="true" outlineLevel="0" collapsed="false">
      <c r="A126" s="1" t="s">
        <v>144</v>
      </c>
      <c r="C126" s="2" t="s">
        <v>94</v>
      </c>
      <c r="D126" s="3" t="s">
        <v>77</v>
      </c>
      <c r="E126" s="3" t="s">
        <v>62</v>
      </c>
      <c r="F126" s="3" t="s">
        <v>62</v>
      </c>
      <c r="G126" s="0" t="s">
        <v>63</v>
      </c>
      <c r="H126" s="0" t="n">
        <v>120</v>
      </c>
      <c r="I126" s="20" t="n">
        <v>1</v>
      </c>
      <c r="J126" s="0" t="s">
        <v>64</v>
      </c>
      <c r="K126" s="27" t="n">
        <f aca="false">132/2.9</f>
        <v>45.5172413793104</v>
      </c>
      <c r="M126" s="0" t="n">
        <v>6.2</v>
      </c>
      <c r="N126" s="0" t="n">
        <v>0.7</v>
      </c>
      <c r="O126" s="21" t="n">
        <v>4.7</v>
      </c>
      <c r="P126" s="21" t="n">
        <v>8</v>
      </c>
      <c r="Q126" s="21" t="n">
        <v>2.9</v>
      </c>
      <c r="R126" s="0" t="s">
        <v>79</v>
      </c>
      <c r="T126" s="0" t="s">
        <v>145</v>
      </c>
      <c r="U126" s="0" t="n">
        <v>1.4</v>
      </c>
      <c r="W126" s="0" t="n">
        <v>24.5</v>
      </c>
      <c r="Y126" s="0" t="s">
        <v>146</v>
      </c>
      <c r="Z126" s="0" t="s">
        <v>147</v>
      </c>
    </row>
    <row r="127" customFormat="false" ht="15" hidden="false" customHeight="true" outlineLevel="0" collapsed="false">
      <c r="A127" s="1" t="s">
        <v>144</v>
      </c>
      <c r="B127" s="2" t="s">
        <v>148</v>
      </c>
      <c r="C127" s="2" t="s">
        <v>94</v>
      </c>
      <c r="D127" s="3" t="s">
        <v>77</v>
      </c>
      <c r="E127" s="3" t="s">
        <v>70</v>
      </c>
      <c r="F127" s="3" t="s">
        <v>70</v>
      </c>
      <c r="G127" s="0" t="s">
        <v>63</v>
      </c>
      <c r="H127" s="0" t="n">
        <v>120</v>
      </c>
      <c r="I127" s="20" t="n">
        <v>1</v>
      </c>
      <c r="J127" s="0" t="s">
        <v>64</v>
      </c>
      <c r="K127" s="27" t="n">
        <f aca="false">132/2.9</f>
        <v>45.5172413793104</v>
      </c>
      <c r="M127" s="0" t="n">
        <v>7.2</v>
      </c>
      <c r="N127" s="0" t="n">
        <v>0.7</v>
      </c>
      <c r="O127" s="21" t="n">
        <v>1.9</v>
      </c>
      <c r="P127" s="21" t="n">
        <v>7.9</v>
      </c>
      <c r="Q127" s="21" t="n">
        <v>2.7</v>
      </c>
      <c r="R127" s="0" t="s">
        <v>79</v>
      </c>
      <c r="T127" s="0" t="s">
        <v>145</v>
      </c>
      <c r="U127" s="0" t="n">
        <v>2.4</v>
      </c>
      <c r="W127" s="0" t="n">
        <v>6.4</v>
      </c>
      <c r="Y127" s="0" t="s">
        <v>146</v>
      </c>
      <c r="Z127" s="0" t="s">
        <v>147</v>
      </c>
    </row>
    <row r="128" customFormat="false" ht="15" hidden="false" customHeight="true" outlineLevel="0" collapsed="false">
      <c r="A128" s="1" t="s">
        <v>149</v>
      </c>
      <c r="C128" s="2" t="s">
        <v>60</v>
      </c>
      <c r="D128" s="3" t="s">
        <v>61</v>
      </c>
      <c r="E128" s="3" t="s">
        <v>62</v>
      </c>
      <c r="F128" s="3" t="s">
        <v>62</v>
      </c>
      <c r="G128" s="0" t="s">
        <v>150</v>
      </c>
      <c r="H128" s="0" t="n">
        <v>48</v>
      </c>
      <c r="I128" s="20" t="n">
        <v>1</v>
      </c>
      <c r="J128" s="0" t="s">
        <v>64</v>
      </c>
      <c r="K128" s="0" t="n">
        <v>30</v>
      </c>
      <c r="M128" s="0" t="n">
        <v>13.6</v>
      </c>
      <c r="N128" s="0" t="n">
        <v>12.8</v>
      </c>
      <c r="O128" s="21" t="n">
        <v>7.1</v>
      </c>
      <c r="P128" s="21" t="n">
        <v>6.9</v>
      </c>
      <c r="Q128" s="21" t="n">
        <v>1.9</v>
      </c>
      <c r="S128" s="0" t="n">
        <v>5</v>
      </c>
      <c r="T128" s="0" t="s">
        <v>65</v>
      </c>
      <c r="W128" s="0" t="n">
        <v>12</v>
      </c>
      <c r="Y128" s="0" t="s">
        <v>151</v>
      </c>
      <c r="Z128" s="0" t="s">
        <v>137</v>
      </c>
      <c r="AA128" s="0" t="s">
        <v>152</v>
      </c>
    </row>
    <row r="129" customFormat="false" ht="15" hidden="false" customHeight="true" outlineLevel="0" collapsed="false">
      <c r="A129" s="1" t="s">
        <v>149</v>
      </c>
      <c r="B129" s="2" t="s">
        <v>153</v>
      </c>
      <c r="C129" s="2" t="s">
        <v>60</v>
      </c>
      <c r="D129" s="3" t="s">
        <v>61</v>
      </c>
      <c r="E129" s="3" t="s">
        <v>70</v>
      </c>
      <c r="F129" s="3" t="s">
        <v>70</v>
      </c>
      <c r="G129" s="0" t="s">
        <v>150</v>
      </c>
      <c r="H129" s="0" t="n">
        <v>48</v>
      </c>
      <c r="I129" s="20" t="n">
        <v>1</v>
      </c>
      <c r="J129" s="0" t="s">
        <v>64</v>
      </c>
      <c r="K129" s="0" t="n">
        <v>30</v>
      </c>
      <c r="M129" s="0" t="n">
        <v>14.6</v>
      </c>
      <c r="N129" s="0" t="n">
        <v>12.8</v>
      </c>
      <c r="O129" s="21" t="n">
        <v>3.5</v>
      </c>
      <c r="P129" s="21" t="n">
        <v>7.4</v>
      </c>
      <c r="Q129" s="21" t="n">
        <v>1.8</v>
      </c>
      <c r="S129" s="0" t="n">
        <v>5</v>
      </c>
      <c r="T129" s="0" t="s">
        <v>65</v>
      </c>
      <c r="W129" s="0" t="n">
        <v>7</v>
      </c>
      <c r="Y129" s="0" t="s">
        <v>151</v>
      </c>
      <c r="Z129" s="0" t="s">
        <v>137</v>
      </c>
      <c r="AA129" s="0" t="s">
        <v>152</v>
      </c>
    </row>
    <row r="130" customFormat="false" ht="15" hidden="false" customHeight="false" outlineLevel="0" collapsed="false">
      <c r="A130" s="1" t="s">
        <v>149</v>
      </c>
      <c r="C130" s="2" t="s">
        <v>60</v>
      </c>
      <c r="D130" s="3" t="s">
        <v>61</v>
      </c>
      <c r="E130" s="3" t="s">
        <v>62</v>
      </c>
      <c r="F130" s="3" t="s">
        <v>62</v>
      </c>
      <c r="G130" s="0" t="s">
        <v>150</v>
      </c>
      <c r="H130" s="0" t="n">
        <v>48</v>
      </c>
      <c r="I130" s="20" t="n">
        <v>2</v>
      </c>
      <c r="J130" s="0" t="s">
        <v>64</v>
      </c>
      <c r="K130" s="0" t="n">
        <v>32</v>
      </c>
      <c r="M130" s="0" t="n">
        <v>12.1</v>
      </c>
      <c r="N130" s="0" t="n">
        <v>15.9</v>
      </c>
      <c r="O130" s="21" t="n">
        <v>7.1</v>
      </c>
      <c r="P130" s="21" t="n">
        <v>7</v>
      </c>
      <c r="Q130" s="21" t="n">
        <v>1.8</v>
      </c>
      <c r="S130" s="0" t="n">
        <v>5</v>
      </c>
      <c r="T130" s="0" t="s">
        <v>65</v>
      </c>
      <c r="W130" s="0" t="n">
        <v>20.5</v>
      </c>
      <c r="Y130" s="0" t="s">
        <v>151</v>
      </c>
      <c r="Z130" s="0" t="s">
        <v>137</v>
      </c>
      <c r="AA130" s="0" t="s">
        <v>152</v>
      </c>
    </row>
    <row r="131" customFormat="false" ht="15" hidden="false" customHeight="true" outlineLevel="0" collapsed="false">
      <c r="A131" s="1" t="s">
        <v>149</v>
      </c>
      <c r="B131" s="2" t="s">
        <v>153</v>
      </c>
      <c r="C131" s="2" t="s">
        <v>60</v>
      </c>
      <c r="D131" s="3" t="s">
        <v>61</v>
      </c>
      <c r="E131" s="3" t="s">
        <v>70</v>
      </c>
      <c r="F131" s="3" t="s">
        <v>70</v>
      </c>
      <c r="G131" s="0" t="s">
        <v>150</v>
      </c>
      <c r="H131" s="0" t="n">
        <v>48</v>
      </c>
      <c r="I131" s="20" t="n">
        <v>2</v>
      </c>
      <c r="J131" s="0" t="s">
        <v>64</v>
      </c>
      <c r="K131" s="0" t="n">
        <v>32</v>
      </c>
      <c r="M131" s="0" t="n">
        <v>13.1</v>
      </c>
      <c r="N131" s="0" t="n">
        <v>15.9</v>
      </c>
      <c r="O131" s="21" t="n">
        <v>3</v>
      </c>
      <c r="P131" s="21" t="n">
        <v>7.6</v>
      </c>
      <c r="Q131" s="21" t="n">
        <v>1.7</v>
      </c>
      <c r="S131" s="0" t="n">
        <v>5</v>
      </c>
      <c r="T131" s="0" t="s">
        <v>65</v>
      </c>
      <c r="W131" s="0" t="n">
        <v>15</v>
      </c>
      <c r="Y131" s="0" t="s">
        <v>151</v>
      </c>
      <c r="Z131" s="0" t="s">
        <v>137</v>
      </c>
      <c r="AA131" s="0" t="s">
        <v>152</v>
      </c>
    </row>
    <row r="132" customFormat="false" ht="15" hidden="false" customHeight="true" outlineLevel="0" collapsed="false">
      <c r="A132" s="1" t="s">
        <v>154</v>
      </c>
      <c r="C132" s="2" t="s">
        <v>103</v>
      </c>
      <c r="D132" s="3" t="s">
        <v>61</v>
      </c>
      <c r="E132" s="3" t="s">
        <v>62</v>
      </c>
      <c r="F132" s="3" t="s">
        <v>62</v>
      </c>
      <c r="G132" s="0" t="s">
        <v>63</v>
      </c>
      <c r="H132" s="0" t="n">
        <v>72</v>
      </c>
      <c r="I132" s="20" t="n">
        <v>1</v>
      </c>
      <c r="J132" s="0" t="s">
        <v>64</v>
      </c>
      <c r="K132" s="25" t="n">
        <f aca="false">130/2.1</f>
        <v>61.9047619047619</v>
      </c>
      <c r="N132" s="0" t="n">
        <v>0</v>
      </c>
      <c r="O132" s="21" t="n">
        <v>5.79</v>
      </c>
      <c r="P132" s="21" t="n">
        <v>8.62</v>
      </c>
      <c r="Q132" s="21" t="n">
        <v>0.75</v>
      </c>
      <c r="R132" s="0" t="s">
        <v>155</v>
      </c>
      <c r="S132" s="0" t="n">
        <v>12</v>
      </c>
      <c r="W132" s="0" t="n">
        <v>39</v>
      </c>
      <c r="Y132" s="0" t="s">
        <v>156</v>
      </c>
      <c r="Z132" s="23" t="s">
        <v>157</v>
      </c>
      <c r="AA132" s="0" t="s">
        <v>158</v>
      </c>
      <c r="AB132" s="41"/>
    </row>
    <row r="133" customFormat="false" ht="15" hidden="false" customHeight="true" outlineLevel="0" collapsed="false">
      <c r="A133" s="1" t="s">
        <v>154</v>
      </c>
      <c r="C133" s="2" t="s">
        <v>103</v>
      </c>
      <c r="D133" s="3" t="s">
        <v>61</v>
      </c>
      <c r="E133" s="3" t="s">
        <v>62</v>
      </c>
      <c r="F133" s="3" t="s">
        <v>62</v>
      </c>
      <c r="G133" s="0" t="s">
        <v>63</v>
      </c>
      <c r="H133" s="0" t="n">
        <v>72</v>
      </c>
      <c r="I133" s="20" t="n">
        <v>2</v>
      </c>
      <c r="J133" s="0" t="s">
        <v>64</v>
      </c>
      <c r="K133" s="25" t="n">
        <f aca="false">130/2.1</f>
        <v>61.9047619047619</v>
      </c>
      <c r="N133" s="0" t="n">
        <v>0</v>
      </c>
      <c r="O133" s="21" t="n">
        <v>5.79</v>
      </c>
      <c r="P133" s="21" t="n">
        <v>8.62</v>
      </c>
      <c r="Q133" s="21" t="n">
        <v>0.75</v>
      </c>
      <c r="R133" s="0" t="s">
        <v>155</v>
      </c>
      <c r="S133" s="0" t="n">
        <v>12</v>
      </c>
      <c r="W133" s="0" t="n">
        <v>39</v>
      </c>
      <c r="Y133" s="0" t="s">
        <v>156</v>
      </c>
      <c r="Z133" s="23" t="s">
        <v>157</v>
      </c>
      <c r="AA133" s="0" t="s">
        <v>158</v>
      </c>
      <c r="AB133" s="41"/>
    </row>
    <row r="134" customFormat="false" ht="15" hidden="false" customHeight="true" outlineLevel="0" collapsed="false">
      <c r="A134" s="1" t="s">
        <v>154</v>
      </c>
      <c r="C134" s="2" t="s">
        <v>103</v>
      </c>
      <c r="D134" s="3" t="s">
        <v>61</v>
      </c>
      <c r="E134" s="3" t="s">
        <v>62</v>
      </c>
      <c r="F134" s="3" t="s">
        <v>62</v>
      </c>
      <c r="G134" s="0" t="s">
        <v>63</v>
      </c>
      <c r="H134" s="0" t="n">
        <v>72</v>
      </c>
      <c r="I134" s="20" t="n">
        <v>3</v>
      </c>
      <c r="J134" s="0" t="s">
        <v>64</v>
      </c>
      <c r="K134" s="25" t="n">
        <f aca="false">130/2.1</f>
        <v>61.9047619047619</v>
      </c>
      <c r="N134" s="0" t="n">
        <v>0</v>
      </c>
      <c r="O134" s="21" t="n">
        <v>5.79</v>
      </c>
      <c r="P134" s="21" t="n">
        <v>8.62</v>
      </c>
      <c r="Q134" s="21" t="n">
        <v>0.75</v>
      </c>
      <c r="R134" s="0" t="s">
        <v>155</v>
      </c>
      <c r="S134" s="0" t="n">
        <v>12</v>
      </c>
      <c r="W134" s="0" t="n">
        <v>39</v>
      </c>
      <c r="Y134" s="0" t="s">
        <v>156</v>
      </c>
      <c r="Z134" s="23" t="s">
        <v>157</v>
      </c>
      <c r="AA134" s="0" t="s">
        <v>158</v>
      </c>
      <c r="AB134" s="41"/>
    </row>
    <row r="135" customFormat="false" ht="15" hidden="false" customHeight="true" outlineLevel="0" collapsed="false">
      <c r="A135" s="1" t="s">
        <v>154</v>
      </c>
      <c r="B135" s="2" t="s">
        <v>153</v>
      </c>
      <c r="C135" s="2" t="s">
        <v>103</v>
      </c>
      <c r="D135" s="3" t="s">
        <v>61</v>
      </c>
      <c r="E135" s="3" t="s">
        <v>70</v>
      </c>
      <c r="F135" s="3" t="s">
        <v>70</v>
      </c>
      <c r="G135" s="0" t="s">
        <v>63</v>
      </c>
      <c r="H135" s="0" t="n">
        <v>72</v>
      </c>
      <c r="I135" s="20" t="n">
        <v>1</v>
      </c>
      <c r="J135" s="0" t="s">
        <v>64</v>
      </c>
      <c r="K135" s="25" t="n">
        <f aca="false">130/2.08</f>
        <v>62.5</v>
      </c>
      <c r="N135" s="0" t="n">
        <v>0</v>
      </c>
      <c r="O135" s="21" t="n">
        <v>2.68</v>
      </c>
      <c r="P135" s="21" t="n">
        <v>8.6</v>
      </c>
      <c r="Q135" s="21" t="n">
        <v>0.87</v>
      </c>
      <c r="R135" s="0" t="s">
        <v>155</v>
      </c>
      <c r="S135" s="0" t="n">
        <v>12</v>
      </c>
      <c r="W135" s="0" t="n">
        <v>16</v>
      </c>
      <c r="Y135" s="0" t="s">
        <v>156</v>
      </c>
      <c r="Z135" s="23" t="s">
        <v>157</v>
      </c>
      <c r="AA135" s="0" t="s">
        <v>158</v>
      </c>
      <c r="AB135" s="41"/>
    </row>
    <row r="136" customFormat="false" ht="15" hidden="false" customHeight="true" outlineLevel="0" collapsed="false">
      <c r="A136" s="1" t="s">
        <v>154</v>
      </c>
      <c r="B136" s="2" t="s">
        <v>159</v>
      </c>
      <c r="C136" s="2" t="s">
        <v>103</v>
      </c>
      <c r="D136" s="3" t="s">
        <v>61</v>
      </c>
      <c r="E136" s="3" t="s">
        <v>70</v>
      </c>
      <c r="F136" s="3" t="s">
        <v>70</v>
      </c>
      <c r="G136" s="0" t="s">
        <v>63</v>
      </c>
      <c r="H136" s="0" t="n">
        <v>72</v>
      </c>
      <c r="I136" s="20" t="n">
        <v>2</v>
      </c>
      <c r="J136" s="0" t="s">
        <v>64</v>
      </c>
      <c r="K136" s="25" t="n">
        <f aca="false">130/1.94</f>
        <v>67.0103092783505</v>
      </c>
      <c r="N136" s="0" t="n">
        <v>0</v>
      </c>
      <c r="O136" s="21" t="n">
        <v>2.69</v>
      </c>
      <c r="P136" s="21" t="n">
        <v>8.57</v>
      </c>
      <c r="Q136" s="21" t="n">
        <v>0.9</v>
      </c>
      <c r="R136" s="0" t="s">
        <v>155</v>
      </c>
      <c r="S136" s="0" t="n">
        <v>12</v>
      </c>
      <c r="W136" s="0" t="n">
        <v>17</v>
      </c>
      <c r="Y136" s="0" t="s">
        <v>156</v>
      </c>
      <c r="Z136" s="23" t="s">
        <v>157</v>
      </c>
      <c r="AA136" s="0" t="s">
        <v>158</v>
      </c>
      <c r="AB136" s="41"/>
    </row>
    <row r="137" customFormat="false" ht="15" hidden="false" customHeight="true" outlineLevel="0" collapsed="false">
      <c r="A137" s="1" t="s">
        <v>154</v>
      </c>
      <c r="B137" s="2" t="s">
        <v>159</v>
      </c>
      <c r="C137" s="2" t="s">
        <v>103</v>
      </c>
      <c r="D137" s="3" t="s">
        <v>61</v>
      </c>
      <c r="E137" s="3" t="s">
        <v>70</v>
      </c>
      <c r="F137" s="3" t="s">
        <v>70</v>
      </c>
      <c r="G137" s="0" t="s">
        <v>63</v>
      </c>
      <c r="H137" s="0" t="n">
        <v>72</v>
      </c>
      <c r="I137" s="20" t="n">
        <v>3</v>
      </c>
      <c r="J137" s="0" t="s">
        <v>64</v>
      </c>
      <c r="K137" s="25" t="n">
        <f aca="false">130/2.1</f>
        <v>61.9047619047619</v>
      </c>
      <c r="N137" s="0" t="n">
        <v>0</v>
      </c>
      <c r="O137" s="21" t="n">
        <v>2.59</v>
      </c>
      <c r="P137" s="21" t="n">
        <v>8.62</v>
      </c>
      <c r="Q137" s="21" t="n">
        <v>0.9</v>
      </c>
      <c r="R137" s="0" t="s">
        <v>155</v>
      </c>
      <c r="S137" s="0" t="n">
        <v>12</v>
      </c>
      <c r="W137" s="0" t="n">
        <v>14</v>
      </c>
      <c r="Y137" s="0" t="s">
        <v>156</v>
      </c>
      <c r="Z137" s="23" t="s">
        <v>157</v>
      </c>
      <c r="AA137" s="0" t="s">
        <v>158</v>
      </c>
      <c r="AB137" s="41"/>
    </row>
    <row r="138" customFormat="false" ht="15" hidden="false" customHeight="true" outlineLevel="0" collapsed="false">
      <c r="A138" s="1" t="s">
        <v>160</v>
      </c>
      <c r="C138" s="2" t="s">
        <v>60</v>
      </c>
      <c r="D138" s="3" t="s">
        <v>61</v>
      </c>
      <c r="E138" s="3" t="s">
        <v>62</v>
      </c>
      <c r="F138" s="3" t="s">
        <v>62</v>
      </c>
      <c r="G138" s="0" t="s">
        <v>63</v>
      </c>
      <c r="H138" s="0" t="n">
        <v>90</v>
      </c>
      <c r="I138" s="20" t="n">
        <v>1</v>
      </c>
      <c r="J138" s="0" t="s">
        <v>64</v>
      </c>
      <c r="K138" s="0" t="n">
        <v>35</v>
      </c>
      <c r="L138" s="0" t="n">
        <v>18.4</v>
      </c>
      <c r="M138" s="0" t="n">
        <v>17.1</v>
      </c>
      <c r="N138" s="0" t="n">
        <v>0</v>
      </c>
      <c r="O138" s="21" t="n">
        <v>8.7</v>
      </c>
      <c r="P138" s="21" t="s">
        <v>161</v>
      </c>
      <c r="Q138" s="21" t="n">
        <v>1.95</v>
      </c>
      <c r="R138" s="0" t="s">
        <v>73</v>
      </c>
      <c r="S138" s="0" t="n">
        <v>43</v>
      </c>
      <c r="T138" s="0" t="s">
        <v>162</v>
      </c>
      <c r="U138" s="0" t="n">
        <v>1.11</v>
      </c>
      <c r="V138" s="0" t="n">
        <v>0.21</v>
      </c>
      <c r="W138" s="0" t="n">
        <v>39.35</v>
      </c>
      <c r="Y138" s="0" t="s">
        <v>163</v>
      </c>
      <c r="Z138" s="0" t="s">
        <v>164</v>
      </c>
      <c r="AA138" s="0" t="s">
        <v>165</v>
      </c>
      <c r="AB138" s="42"/>
    </row>
    <row r="139" customFormat="false" ht="15" hidden="false" customHeight="true" outlineLevel="0" collapsed="false">
      <c r="A139" s="1" t="s">
        <v>160</v>
      </c>
      <c r="B139" s="2" t="s">
        <v>69</v>
      </c>
      <c r="C139" s="2" t="s">
        <v>60</v>
      </c>
      <c r="D139" s="3" t="s">
        <v>61</v>
      </c>
      <c r="E139" s="3" t="s">
        <v>70</v>
      </c>
      <c r="F139" s="3" t="s">
        <v>70</v>
      </c>
      <c r="G139" s="0" t="s">
        <v>63</v>
      </c>
      <c r="H139" s="0" t="n">
        <v>90</v>
      </c>
      <c r="I139" s="20" t="n">
        <v>1</v>
      </c>
      <c r="J139" s="0" t="s">
        <v>64</v>
      </c>
      <c r="K139" s="0" t="n">
        <v>35</v>
      </c>
      <c r="L139" s="0" t="n">
        <v>18.4</v>
      </c>
      <c r="M139" s="0" t="n">
        <v>17.1</v>
      </c>
      <c r="N139" s="0" t="n">
        <v>0</v>
      </c>
      <c r="O139" s="21" t="n">
        <v>4.4</v>
      </c>
      <c r="P139" s="21" t="s">
        <v>161</v>
      </c>
      <c r="Q139" s="21" t="n">
        <v>1.89</v>
      </c>
      <c r="R139" s="0" t="s">
        <v>73</v>
      </c>
      <c r="S139" s="0" t="n">
        <v>43</v>
      </c>
      <c r="T139" s="0" t="s">
        <v>162</v>
      </c>
      <c r="U139" s="0" t="n">
        <v>1.11</v>
      </c>
      <c r="V139" s="0" t="n">
        <v>0.21</v>
      </c>
      <c r="W139" s="0" t="n">
        <v>29.32</v>
      </c>
      <c r="Y139" s="0" t="s">
        <v>163</v>
      </c>
      <c r="Z139" s="0" t="s">
        <v>164</v>
      </c>
      <c r="AA139" s="0" t="s">
        <v>165</v>
      </c>
      <c r="AB139" s="41"/>
    </row>
    <row r="140" customFormat="false" ht="15" hidden="false" customHeight="true" outlineLevel="0" collapsed="false">
      <c r="A140" s="1" t="s">
        <v>160</v>
      </c>
      <c r="C140" s="2" t="s">
        <v>60</v>
      </c>
      <c r="D140" s="3" t="s">
        <v>61</v>
      </c>
      <c r="E140" s="3" t="s">
        <v>62</v>
      </c>
      <c r="F140" s="3" t="s">
        <v>62</v>
      </c>
      <c r="G140" s="0" t="s">
        <v>63</v>
      </c>
      <c r="H140" s="0" t="n">
        <v>90</v>
      </c>
      <c r="I140" s="20" t="n">
        <v>2</v>
      </c>
      <c r="J140" s="0" t="s">
        <v>64</v>
      </c>
      <c r="K140" s="0" t="n">
        <v>35</v>
      </c>
      <c r="L140" s="0" t="n">
        <v>21</v>
      </c>
      <c r="M140" s="0" t="n">
        <v>16.4</v>
      </c>
      <c r="N140" s="0" t="n">
        <v>0</v>
      </c>
      <c r="O140" s="21" t="n">
        <v>8.5</v>
      </c>
      <c r="P140" s="21" t="s">
        <v>161</v>
      </c>
      <c r="Q140" s="21" t="n">
        <v>1.9</v>
      </c>
      <c r="R140" s="0" t="s">
        <v>166</v>
      </c>
      <c r="S140" s="0" t="n">
        <v>14</v>
      </c>
      <c r="U140" s="0" t="n">
        <v>1.39</v>
      </c>
      <c r="V140" s="0" t="n">
        <v>0.16</v>
      </c>
      <c r="W140" s="0" t="n">
        <v>40.8</v>
      </c>
      <c r="Y140" s="0" t="s">
        <v>163</v>
      </c>
      <c r="Z140" s="0" t="s">
        <v>164</v>
      </c>
      <c r="AA140" s="0" t="s">
        <v>165</v>
      </c>
      <c r="AB140" s="41"/>
    </row>
    <row r="141" customFormat="false" ht="15" hidden="false" customHeight="true" outlineLevel="0" collapsed="false">
      <c r="A141" s="1" t="s">
        <v>160</v>
      </c>
      <c r="B141" s="2" t="s">
        <v>69</v>
      </c>
      <c r="C141" s="2" t="s">
        <v>60</v>
      </c>
      <c r="D141" s="3" t="s">
        <v>61</v>
      </c>
      <c r="E141" s="3" t="s">
        <v>70</v>
      </c>
      <c r="F141" s="3" t="s">
        <v>70</v>
      </c>
      <c r="G141" s="0" t="s">
        <v>63</v>
      </c>
      <c r="H141" s="0" t="n">
        <v>90</v>
      </c>
      <c r="I141" s="20" t="n">
        <v>2</v>
      </c>
      <c r="J141" s="0" t="s">
        <v>64</v>
      </c>
      <c r="K141" s="0" t="n">
        <v>35</v>
      </c>
      <c r="L141" s="0" t="n">
        <v>21</v>
      </c>
      <c r="M141" s="0" t="n">
        <v>16.4</v>
      </c>
      <c r="N141" s="0" t="n">
        <v>0</v>
      </c>
      <c r="O141" s="21" t="n">
        <v>4.3</v>
      </c>
      <c r="P141" s="21" t="s">
        <v>161</v>
      </c>
      <c r="Q141" s="21" t="n">
        <v>1.92</v>
      </c>
      <c r="R141" s="0" t="s">
        <v>166</v>
      </c>
      <c r="S141" s="0" t="n">
        <v>14</v>
      </c>
      <c r="U141" s="0" t="n">
        <v>1.39</v>
      </c>
      <c r="V141" s="0" t="n">
        <v>0.16</v>
      </c>
      <c r="W141" s="0" t="n">
        <v>48.74</v>
      </c>
      <c r="Y141" s="0" t="s">
        <v>163</v>
      </c>
      <c r="Z141" s="0" t="s">
        <v>164</v>
      </c>
      <c r="AA141" s="0" t="s">
        <v>165</v>
      </c>
      <c r="AB141" s="41"/>
    </row>
    <row r="142" customFormat="false" ht="15" hidden="false" customHeight="true" outlineLevel="0" collapsed="false">
      <c r="A142" s="1" t="s">
        <v>167</v>
      </c>
      <c r="C142" s="2" t="s">
        <v>60</v>
      </c>
      <c r="D142" s="3" t="s">
        <v>61</v>
      </c>
      <c r="E142" s="3" t="s">
        <v>62</v>
      </c>
      <c r="F142" s="3" t="s">
        <v>62</v>
      </c>
      <c r="G142" s="0" t="s">
        <v>63</v>
      </c>
      <c r="H142" s="0" t="n">
        <v>95</v>
      </c>
      <c r="I142" s="20" t="n">
        <v>1</v>
      </c>
      <c r="J142" s="0" t="s">
        <v>78</v>
      </c>
      <c r="K142" s="0" t="n">
        <v>60</v>
      </c>
      <c r="L142" s="0" t="n">
        <v>22.4</v>
      </c>
      <c r="M142" s="0" t="n">
        <v>17.8</v>
      </c>
      <c r="N142" s="0" t="n">
        <v>0</v>
      </c>
      <c r="O142" s="21" t="n">
        <v>7.5</v>
      </c>
      <c r="P142" s="21" t="n">
        <v>6.8</v>
      </c>
      <c r="Q142" s="21" t="n">
        <v>1.75</v>
      </c>
      <c r="R142" s="0" t="s">
        <v>168</v>
      </c>
      <c r="T142" s="0" t="s">
        <v>65</v>
      </c>
      <c r="U142" s="0" t="n">
        <v>1.08</v>
      </c>
      <c r="V142" s="0" t="n">
        <v>0.35</v>
      </c>
      <c r="W142" s="0" t="n">
        <v>38.74</v>
      </c>
      <c r="Y142" s="0" t="s">
        <v>169</v>
      </c>
      <c r="Z142" s="23" t="s">
        <v>170</v>
      </c>
      <c r="AA142" s="0" t="s">
        <v>171</v>
      </c>
      <c r="AB142" s="41"/>
    </row>
    <row r="143" customFormat="false" ht="15" hidden="false" customHeight="true" outlineLevel="0" collapsed="false">
      <c r="A143" s="1" t="s">
        <v>167</v>
      </c>
      <c r="B143" s="2" t="s">
        <v>91</v>
      </c>
      <c r="C143" s="2" t="s">
        <v>60</v>
      </c>
      <c r="D143" s="3" t="s">
        <v>61</v>
      </c>
      <c r="E143" s="3" t="s">
        <v>70</v>
      </c>
      <c r="F143" s="3" t="s">
        <v>70</v>
      </c>
      <c r="G143" s="0" t="s">
        <v>63</v>
      </c>
      <c r="H143" s="0" t="n">
        <v>95</v>
      </c>
      <c r="I143" s="20" t="n">
        <v>1</v>
      </c>
      <c r="J143" s="0" t="s">
        <v>78</v>
      </c>
      <c r="K143" s="0" t="n">
        <v>60</v>
      </c>
      <c r="L143" s="0" t="n">
        <v>22.4</v>
      </c>
      <c r="M143" s="0" t="n">
        <v>17.8</v>
      </c>
      <c r="N143" s="0" t="n">
        <v>0</v>
      </c>
      <c r="O143" s="21" t="n">
        <v>4.4</v>
      </c>
      <c r="P143" s="21" t="n">
        <v>6.9</v>
      </c>
      <c r="Q143" s="21" t="n">
        <v>1.25</v>
      </c>
      <c r="R143" s="0" t="s">
        <v>168</v>
      </c>
      <c r="T143" s="0" t="s">
        <v>65</v>
      </c>
      <c r="U143" s="0" t="n">
        <v>1.08</v>
      </c>
      <c r="V143" s="0" t="n">
        <v>0.35</v>
      </c>
      <c r="W143" s="0" t="n">
        <v>33.28</v>
      </c>
      <c r="Y143" s="0" t="s">
        <v>169</v>
      </c>
      <c r="Z143" s="23" t="s">
        <v>170</v>
      </c>
      <c r="AA143" s="0" t="s">
        <v>171</v>
      </c>
      <c r="AB143" s="41"/>
      <c r="AE143" s="6"/>
      <c r="AF143" s="6"/>
      <c r="AG143" s="6"/>
      <c r="AH143" s="6"/>
      <c r="AJ143" s="28"/>
      <c r="AK143" s="28"/>
    </row>
    <row r="144" customFormat="false" ht="15" hidden="false" customHeight="true" outlineLevel="0" collapsed="false">
      <c r="A144" s="1" t="s">
        <v>167</v>
      </c>
      <c r="C144" s="2" t="s">
        <v>60</v>
      </c>
      <c r="D144" s="3" t="s">
        <v>61</v>
      </c>
      <c r="E144" s="3" t="s">
        <v>62</v>
      </c>
      <c r="F144" s="3" t="s">
        <v>62</v>
      </c>
      <c r="G144" s="0" t="s">
        <v>63</v>
      </c>
      <c r="H144" s="0" t="n">
        <v>95</v>
      </c>
      <c r="I144" s="20" t="n">
        <v>2</v>
      </c>
      <c r="J144" s="0" t="s">
        <v>64</v>
      </c>
      <c r="K144" s="0" t="n">
        <v>60</v>
      </c>
      <c r="L144" s="0" t="n">
        <v>16.5</v>
      </c>
      <c r="M144" s="0" t="n">
        <v>13.7</v>
      </c>
      <c r="N144" s="0" t="n">
        <v>0</v>
      </c>
      <c r="O144" s="21" t="n">
        <v>7.9</v>
      </c>
      <c r="P144" s="21" t="n">
        <v>6.8</v>
      </c>
      <c r="Q144" s="21" t="n">
        <v>1.79</v>
      </c>
      <c r="R144" s="0" t="s">
        <v>168</v>
      </c>
      <c r="T144" s="0" t="s">
        <v>65</v>
      </c>
      <c r="U144" s="0" t="n">
        <v>1.08</v>
      </c>
      <c r="V144" s="0" t="n">
        <v>0.19</v>
      </c>
      <c r="W144" s="0" t="n">
        <v>31.06</v>
      </c>
      <c r="Y144" s="0" t="s">
        <v>169</v>
      </c>
      <c r="Z144" s="23" t="s">
        <v>170</v>
      </c>
      <c r="AA144" s="0" t="s">
        <v>171</v>
      </c>
      <c r="AB144" s="43"/>
      <c r="AE144" s="6"/>
      <c r="AF144" s="6"/>
      <c r="AG144" s="6"/>
      <c r="AH144" s="6"/>
      <c r="AJ144" s="28"/>
      <c r="AK144" s="28"/>
    </row>
    <row r="145" customFormat="false" ht="15" hidden="false" customHeight="true" outlineLevel="0" collapsed="false">
      <c r="A145" s="1" t="s">
        <v>167</v>
      </c>
      <c r="B145" s="2" t="s">
        <v>91</v>
      </c>
      <c r="C145" s="2" t="s">
        <v>60</v>
      </c>
      <c r="D145" s="3" t="s">
        <v>61</v>
      </c>
      <c r="E145" s="3" t="s">
        <v>70</v>
      </c>
      <c r="F145" s="3" t="s">
        <v>70</v>
      </c>
      <c r="G145" s="0" t="s">
        <v>63</v>
      </c>
      <c r="H145" s="0" t="n">
        <v>95</v>
      </c>
      <c r="I145" s="20" t="n">
        <v>2</v>
      </c>
      <c r="J145" s="0" t="s">
        <v>64</v>
      </c>
      <c r="K145" s="0" t="n">
        <v>60</v>
      </c>
      <c r="L145" s="0" t="n">
        <v>16.5</v>
      </c>
      <c r="M145" s="0" t="n">
        <v>13.7</v>
      </c>
      <c r="N145" s="0" t="n">
        <v>0</v>
      </c>
      <c r="O145" s="21" t="n">
        <v>1.8</v>
      </c>
      <c r="P145" s="21" t="n">
        <v>7.2</v>
      </c>
      <c r="Q145" s="21" t="n">
        <v>0.77</v>
      </c>
      <c r="R145" s="0" t="s">
        <v>168</v>
      </c>
      <c r="T145" s="0" t="s">
        <v>65</v>
      </c>
      <c r="U145" s="0" t="n">
        <v>1.08</v>
      </c>
      <c r="V145" s="0" t="n">
        <v>0.19</v>
      </c>
      <c r="W145" s="0" t="n">
        <v>10.86</v>
      </c>
      <c r="Y145" s="0" t="s">
        <v>169</v>
      </c>
      <c r="Z145" s="23" t="s">
        <v>170</v>
      </c>
      <c r="AA145" s="0" t="s">
        <v>171</v>
      </c>
      <c r="AB145" s="43"/>
      <c r="AE145" s="6"/>
      <c r="AF145" s="6"/>
      <c r="AG145" s="6"/>
      <c r="AH145" s="6"/>
      <c r="AJ145" s="28"/>
      <c r="AK145" s="28"/>
    </row>
    <row r="146" customFormat="false" ht="15" hidden="false" customHeight="true" outlineLevel="0" collapsed="false">
      <c r="A146" s="1" t="s">
        <v>167</v>
      </c>
      <c r="C146" s="2" t="s">
        <v>60</v>
      </c>
      <c r="D146" s="3" t="s">
        <v>61</v>
      </c>
      <c r="E146" s="3" t="s">
        <v>62</v>
      </c>
      <c r="F146" s="3" t="s">
        <v>62</v>
      </c>
      <c r="G146" s="0" t="s">
        <v>63</v>
      </c>
      <c r="H146" s="0" t="n">
        <v>95</v>
      </c>
      <c r="I146" s="20" t="n">
        <v>3</v>
      </c>
      <c r="J146" s="0" t="s">
        <v>78</v>
      </c>
      <c r="K146" s="0" t="n">
        <v>60</v>
      </c>
      <c r="L146" s="0" t="n">
        <v>20.2</v>
      </c>
      <c r="M146" s="0" t="n">
        <v>16.3</v>
      </c>
      <c r="N146" s="0" t="n">
        <v>0</v>
      </c>
      <c r="O146" s="21" t="n">
        <v>7.2</v>
      </c>
      <c r="P146" s="21" t="n">
        <v>7</v>
      </c>
      <c r="Q146" s="21" t="n">
        <v>1.81</v>
      </c>
      <c r="R146" s="0" t="s">
        <v>168</v>
      </c>
      <c r="T146" s="0" t="s">
        <v>65</v>
      </c>
      <c r="U146" s="0" t="n">
        <v>1.08</v>
      </c>
      <c r="V146" s="0" t="n">
        <v>0.14</v>
      </c>
      <c r="W146" s="0" t="n">
        <v>22.99</v>
      </c>
      <c r="Y146" s="0" t="s">
        <v>169</v>
      </c>
      <c r="Z146" s="23" t="s">
        <v>170</v>
      </c>
      <c r="AA146" s="0" t="s">
        <v>171</v>
      </c>
      <c r="AB146" s="43"/>
      <c r="AE146" s="6"/>
      <c r="AF146" s="6"/>
      <c r="AG146" s="6"/>
      <c r="AH146" s="6"/>
      <c r="AJ146" s="28"/>
      <c r="AK146" s="28"/>
    </row>
    <row r="147" customFormat="false" ht="15" hidden="false" customHeight="true" outlineLevel="0" collapsed="false">
      <c r="A147" s="1" t="s">
        <v>167</v>
      </c>
      <c r="B147" s="2" t="s">
        <v>91</v>
      </c>
      <c r="C147" s="2" t="s">
        <v>60</v>
      </c>
      <c r="D147" s="3" t="s">
        <v>61</v>
      </c>
      <c r="E147" s="3" t="s">
        <v>70</v>
      </c>
      <c r="F147" s="3" t="s">
        <v>70</v>
      </c>
      <c r="G147" s="0" t="s">
        <v>63</v>
      </c>
      <c r="H147" s="0" t="n">
        <v>95</v>
      </c>
      <c r="I147" s="20" t="n">
        <v>3</v>
      </c>
      <c r="J147" s="0" t="s">
        <v>78</v>
      </c>
      <c r="K147" s="0" t="n">
        <v>60</v>
      </c>
      <c r="L147" s="0" t="n">
        <v>20.2</v>
      </c>
      <c r="M147" s="0" t="n">
        <v>16.3</v>
      </c>
      <c r="N147" s="0" t="n">
        <v>0</v>
      </c>
      <c r="O147" s="21" t="n">
        <v>1.5</v>
      </c>
      <c r="P147" s="21" t="n">
        <v>7.2</v>
      </c>
      <c r="Q147" s="21" t="n">
        <v>0.79</v>
      </c>
      <c r="R147" s="0" t="s">
        <v>168</v>
      </c>
      <c r="T147" s="0" t="s">
        <v>65</v>
      </c>
      <c r="U147" s="0" t="n">
        <v>1.08</v>
      </c>
      <c r="V147" s="0" t="n">
        <v>0.14</v>
      </c>
      <c r="W147" s="0" t="n">
        <v>8.78</v>
      </c>
      <c r="Y147" s="0" t="s">
        <v>169</v>
      </c>
      <c r="Z147" s="23" t="s">
        <v>170</v>
      </c>
      <c r="AA147" s="0" t="s">
        <v>171</v>
      </c>
      <c r="AB147" s="43"/>
    </row>
    <row r="148" customFormat="false" ht="15" hidden="false" customHeight="true" outlineLevel="0" collapsed="false">
      <c r="A148" s="1" t="s">
        <v>167</v>
      </c>
      <c r="C148" s="2" t="s">
        <v>60</v>
      </c>
      <c r="D148" s="3" t="s">
        <v>61</v>
      </c>
      <c r="E148" s="3" t="s">
        <v>62</v>
      </c>
      <c r="F148" s="3" t="s">
        <v>62</v>
      </c>
      <c r="G148" s="0" t="s">
        <v>63</v>
      </c>
      <c r="H148" s="0" t="n">
        <v>95</v>
      </c>
      <c r="I148" s="20" t="n">
        <v>4</v>
      </c>
      <c r="J148" s="0" t="s">
        <v>64</v>
      </c>
      <c r="K148" s="0" t="n">
        <v>60</v>
      </c>
      <c r="L148" s="0" t="n">
        <v>18.5</v>
      </c>
      <c r="M148" s="0" t="n">
        <v>15.8</v>
      </c>
      <c r="N148" s="0" t="n">
        <v>0</v>
      </c>
      <c r="O148" s="21" t="n">
        <v>6.7</v>
      </c>
      <c r="P148" s="21" t="n">
        <v>7.5</v>
      </c>
      <c r="Q148" s="21" t="n">
        <v>1.77</v>
      </c>
      <c r="R148" s="0" t="s">
        <v>168</v>
      </c>
      <c r="T148" s="0" t="s">
        <v>65</v>
      </c>
      <c r="U148" s="0" t="n">
        <v>1.08</v>
      </c>
      <c r="V148" s="0" t="n">
        <v>0.19</v>
      </c>
      <c r="W148" s="0" t="n">
        <v>30.47</v>
      </c>
      <c r="Y148" s="0" t="s">
        <v>169</v>
      </c>
      <c r="Z148" s="23" t="s">
        <v>170</v>
      </c>
      <c r="AA148" s="0" t="s">
        <v>171</v>
      </c>
      <c r="AB148" s="43"/>
    </row>
    <row r="149" customFormat="false" ht="15" hidden="false" customHeight="true" outlineLevel="0" collapsed="false">
      <c r="A149" s="1" t="s">
        <v>167</v>
      </c>
      <c r="B149" s="2" t="s">
        <v>91</v>
      </c>
      <c r="C149" s="2" t="s">
        <v>60</v>
      </c>
      <c r="D149" s="3" t="s">
        <v>61</v>
      </c>
      <c r="E149" s="3" t="s">
        <v>70</v>
      </c>
      <c r="F149" s="3" t="s">
        <v>70</v>
      </c>
      <c r="G149" s="0" t="s">
        <v>63</v>
      </c>
      <c r="H149" s="0" t="n">
        <v>95</v>
      </c>
      <c r="I149" s="20" t="n">
        <v>4</v>
      </c>
      <c r="J149" s="0" t="s">
        <v>64</v>
      </c>
      <c r="K149" s="0" t="n">
        <v>60</v>
      </c>
      <c r="L149" s="0" t="n">
        <v>18.5</v>
      </c>
      <c r="M149" s="0" t="n">
        <v>15.8</v>
      </c>
      <c r="N149" s="0" t="n">
        <v>0</v>
      </c>
      <c r="O149" s="21" t="n">
        <v>1.5</v>
      </c>
      <c r="P149" s="21" t="n">
        <v>7.6</v>
      </c>
      <c r="Q149" s="21" t="n">
        <v>0.75</v>
      </c>
      <c r="R149" s="0" t="s">
        <v>168</v>
      </c>
      <c r="T149" s="0" t="s">
        <v>65</v>
      </c>
      <c r="U149" s="0" t="n">
        <v>1.08</v>
      </c>
      <c r="V149" s="0" t="n">
        <v>0.19</v>
      </c>
      <c r="W149" s="0" t="n">
        <v>5.34</v>
      </c>
      <c r="Y149" s="0" t="s">
        <v>169</v>
      </c>
      <c r="Z149" s="23" t="s">
        <v>170</v>
      </c>
      <c r="AA149" s="0" t="s">
        <v>171</v>
      </c>
      <c r="AB149" s="43"/>
    </row>
    <row r="150" customFormat="false" ht="15" hidden="false" customHeight="true" outlineLevel="0" collapsed="false">
      <c r="A150" s="1" t="s">
        <v>167</v>
      </c>
      <c r="C150" s="2" t="s">
        <v>60</v>
      </c>
      <c r="D150" s="3" t="s">
        <v>61</v>
      </c>
      <c r="E150" s="3" t="s">
        <v>62</v>
      </c>
      <c r="F150" s="3" t="s">
        <v>62</v>
      </c>
      <c r="G150" s="0" t="s">
        <v>63</v>
      </c>
      <c r="H150" s="0" t="n">
        <v>95</v>
      </c>
      <c r="I150" s="20" t="n">
        <v>5</v>
      </c>
      <c r="J150" s="0" t="s">
        <v>92</v>
      </c>
      <c r="K150" s="0" t="n">
        <v>60</v>
      </c>
      <c r="L150" s="0" t="n">
        <v>16.5</v>
      </c>
      <c r="M150" s="0" t="n">
        <v>13.7</v>
      </c>
      <c r="N150" s="0" t="n">
        <v>0</v>
      </c>
      <c r="O150" s="21" t="n">
        <v>7.9</v>
      </c>
      <c r="P150" s="21" t="n">
        <v>6.8</v>
      </c>
      <c r="Q150" s="21" t="n">
        <v>1.79</v>
      </c>
      <c r="R150" s="0" t="s">
        <v>168</v>
      </c>
      <c r="T150" s="0" t="s">
        <v>65</v>
      </c>
      <c r="U150" s="0" t="n">
        <v>1.08</v>
      </c>
      <c r="V150" s="0" t="n">
        <v>0.19</v>
      </c>
      <c r="W150" s="0" t="n">
        <v>22.1</v>
      </c>
      <c r="Y150" s="0" t="s">
        <v>169</v>
      </c>
      <c r="Z150" s="23" t="s">
        <v>170</v>
      </c>
      <c r="AA150" s="0" t="s">
        <v>171</v>
      </c>
      <c r="AB150" s="43"/>
    </row>
    <row r="151" customFormat="false" ht="15" hidden="false" customHeight="true" outlineLevel="0" collapsed="false">
      <c r="A151" s="1" t="s">
        <v>167</v>
      </c>
      <c r="B151" s="2" t="s">
        <v>91</v>
      </c>
      <c r="C151" s="2" t="s">
        <v>60</v>
      </c>
      <c r="D151" s="3" t="s">
        <v>61</v>
      </c>
      <c r="E151" s="3" t="s">
        <v>70</v>
      </c>
      <c r="F151" s="3" t="s">
        <v>70</v>
      </c>
      <c r="G151" s="0" t="s">
        <v>63</v>
      </c>
      <c r="H151" s="0" t="n">
        <v>95</v>
      </c>
      <c r="I151" s="20" t="n">
        <v>5</v>
      </c>
      <c r="J151" s="0" t="s">
        <v>92</v>
      </c>
      <c r="K151" s="0" t="n">
        <v>60</v>
      </c>
      <c r="L151" s="0" t="n">
        <v>16.5</v>
      </c>
      <c r="M151" s="0" t="n">
        <v>13.7</v>
      </c>
      <c r="N151" s="0" t="n">
        <v>0</v>
      </c>
      <c r="O151" s="21" t="n">
        <v>1.8</v>
      </c>
      <c r="P151" s="21" t="n">
        <v>7.2</v>
      </c>
      <c r="Q151" s="21" t="n">
        <v>0.77</v>
      </c>
      <c r="R151" s="0" t="s">
        <v>168</v>
      </c>
      <c r="T151" s="0" t="s">
        <v>65</v>
      </c>
      <c r="U151" s="0" t="n">
        <v>1.08</v>
      </c>
      <c r="V151" s="0" t="n">
        <v>0.19</v>
      </c>
      <c r="W151" s="0" t="n">
        <v>13.06</v>
      </c>
      <c r="Y151" s="0" t="s">
        <v>169</v>
      </c>
      <c r="Z151" s="23" t="s">
        <v>170</v>
      </c>
      <c r="AA151" s="0" t="s">
        <v>171</v>
      </c>
      <c r="AB151" s="43"/>
    </row>
    <row r="152" customFormat="false" ht="15" hidden="false" customHeight="true" outlineLevel="0" collapsed="false">
      <c r="A152" s="1" t="s">
        <v>167</v>
      </c>
      <c r="C152" s="2" t="s">
        <v>60</v>
      </c>
      <c r="D152" s="3" t="s">
        <v>61</v>
      </c>
      <c r="E152" s="3" t="s">
        <v>62</v>
      </c>
      <c r="F152" s="3" t="s">
        <v>62</v>
      </c>
      <c r="G152" s="0" t="s">
        <v>63</v>
      </c>
      <c r="H152" s="0" t="n">
        <v>95</v>
      </c>
      <c r="I152" s="20" t="n">
        <v>6</v>
      </c>
      <c r="J152" s="0" t="s">
        <v>92</v>
      </c>
      <c r="K152" s="0" t="n">
        <v>60</v>
      </c>
      <c r="L152" s="0" t="n">
        <v>18.5</v>
      </c>
      <c r="M152" s="0" t="n">
        <v>15.8</v>
      </c>
      <c r="N152" s="0" t="n">
        <v>0</v>
      </c>
      <c r="O152" s="21" t="n">
        <v>6.7</v>
      </c>
      <c r="P152" s="21" t="n">
        <v>7.5</v>
      </c>
      <c r="Q152" s="21" t="n">
        <v>1.77</v>
      </c>
      <c r="R152" s="0" t="s">
        <v>168</v>
      </c>
      <c r="T152" s="0" t="s">
        <v>65</v>
      </c>
      <c r="U152" s="0" t="n">
        <v>1.08</v>
      </c>
      <c r="V152" s="0" t="n">
        <v>0.19</v>
      </c>
      <c r="W152" s="0" t="n">
        <v>11.71</v>
      </c>
      <c r="Y152" s="0" t="s">
        <v>169</v>
      </c>
      <c r="Z152" s="23" t="s">
        <v>170</v>
      </c>
      <c r="AA152" s="0" t="s">
        <v>171</v>
      </c>
      <c r="AB152" s="43"/>
    </row>
    <row r="153" customFormat="false" ht="15" hidden="false" customHeight="true" outlineLevel="0" collapsed="false">
      <c r="A153" s="1" t="s">
        <v>167</v>
      </c>
      <c r="B153" s="2" t="s">
        <v>91</v>
      </c>
      <c r="C153" s="2" t="s">
        <v>60</v>
      </c>
      <c r="D153" s="3" t="s">
        <v>61</v>
      </c>
      <c r="E153" s="3" t="s">
        <v>70</v>
      </c>
      <c r="F153" s="3" t="s">
        <v>70</v>
      </c>
      <c r="G153" s="0" t="s">
        <v>63</v>
      </c>
      <c r="H153" s="0" t="n">
        <v>95</v>
      </c>
      <c r="I153" s="20" t="n">
        <v>6</v>
      </c>
      <c r="J153" s="0" t="s">
        <v>92</v>
      </c>
      <c r="K153" s="0" t="n">
        <v>60</v>
      </c>
      <c r="L153" s="0" t="n">
        <v>18.5</v>
      </c>
      <c r="M153" s="0" t="n">
        <v>15.8</v>
      </c>
      <c r="N153" s="0" t="n">
        <v>0</v>
      </c>
      <c r="O153" s="21" t="n">
        <v>1.5</v>
      </c>
      <c r="P153" s="21" t="n">
        <v>7.6</v>
      </c>
      <c r="Q153" s="21" t="n">
        <v>0.75</v>
      </c>
      <c r="R153" s="0" t="s">
        <v>168</v>
      </c>
      <c r="T153" s="0" t="s">
        <v>65</v>
      </c>
      <c r="U153" s="0" t="n">
        <v>1.08</v>
      </c>
      <c r="V153" s="0" t="n">
        <v>0.19</v>
      </c>
      <c r="W153" s="0" t="n">
        <v>6.05</v>
      </c>
      <c r="Y153" s="0" t="s">
        <v>169</v>
      </c>
      <c r="Z153" s="23" t="s">
        <v>170</v>
      </c>
      <c r="AA153" s="0" t="s">
        <v>171</v>
      </c>
      <c r="AB153" s="43"/>
    </row>
    <row r="154" customFormat="false" ht="15" hidden="false" customHeight="false" outlineLevel="0" collapsed="false">
      <c r="A154" s="1" t="s">
        <v>172</v>
      </c>
      <c r="B154" s="2" t="s">
        <v>173</v>
      </c>
      <c r="C154" s="2" t="s">
        <v>106</v>
      </c>
      <c r="D154" s="3" t="s">
        <v>61</v>
      </c>
      <c r="E154" s="37" t="s">
        <v>174</v>
      </c>
      <c r="F154" s="37" t="s">
        <v>62</v>
      </c>
      <c r="G154" s="0" t="s">
        <v>63</v>
      </c>
      <c r="H154" s="0" t="n">
        <v>144</v>
      </c>
      <c r="I154" s="20" t="n">
        <v>1</v>
      </c>
      <c r="J154" s="0" t="s">
        <v>78</v>
      </c>
      <c r="K154" s="20" t="n">
        <v>30</v>
      </c>
      <c r="M154" s="0" t="n">
        <v>15.9</v>
      </c>
      <c r="N154" s="0" t="n">
        <v>0</v>
      </c>
      <c r="O154" s="21" t="n">
        <v>6.9</v>
      </c>
      <c r="P154" s="21" t="n">
        <v>7.4</v>
      </c>
      <c r="Q154" s="21" t="n">
        <v>1.7</v>
      </c>
      <c r="R154" s="0" t="s">
        <v>175</v>
      </c>
      <c r="S154" s="0" t="n">
        <v>10</v>
      </c>
      <c r="T154" s="0" t="s">
        <v>65</v>
      </c>
      <c r="W154" s="0" t="n">
        <v>56.5</v>
      </c>
      <c r="Y154" s="0" t="s">
        <v>107</v>
      </c>
      <c r="Z154" s="0" t="s">
        <v>176</v>
      </c>
      <c r="AA154" s="0" t="s">
        <v>177</v>
      </c>
    </row>
    <row r="155" customFormat="false" ht="15" hidden="false" customHeight="false" outlineLevel="0" collapsed="false">
      <c r="A155" s="1" t="s">
        <v>172</v>
      </c>
      <c r="B155" s="2" t="s">
        <v>173</v>
      </c>
      <c r="C155" s="2" t="s">
        <v>106</v>
      </c>
      <c r="D155" s="3" t="s">
        <v>61</v>
      </c>
      <c r="E155" s="37" t="s">
        <v>174</v>
      </c>
      <c r="F155" s="37" t="s">
        <v>62</v>
      </c>
      <c r="G155" s="0" t="s">
        <v>63</v>
      </c>
      <c r="H155" s="0" t="n">
        <v>144</v>
      </c>
      <c r="I155" s="20" t="n">
        <v>6</v>
      </c>
      <c r="J155" s="0" t="s">
        <v>78</v>
      </c>
      <c r="K155" s="20" t="n">
        <v>30</v>
      </c>
      <c r="M155" s="0" t="n">
        <v>15.9</v>
      </c>
      <c r="N155" s="0" t="n">
        <v>0</v>
      </c>
      <c r="O155" s="21" t="n">
        <v>6.9</v>
      </c>
      <c r="P155" s="21" t="n">
        <v>7.4</v>
      </c>
      <c r="Q155" s="21" t="n">
        <v>1.7</v>
      </c>
      <c r="R155" s="0" t="s">
        <v>175</v>
      </c>
      <c r="S155" s="0" t="n">
        <v>10</v>
      </c>
      <c r="T155" s="0" t="s">
        <v>65</v>
      </c>
      <c r="W155" s="0" t="n">
        <v>56.5</v>
      </c>
      <c r="Y155" s="0" t="s">
        <v>107</v>
      </c>
      <c r="Z155" s="0" t="s">
        <v>176</v>
      </c>
      <c r="AA155" s="0" t="s">
        <v>177</v>
      </c>
    </row>
    <row r="156" customFormat="false" ht="15" hidden="false" customHeight="false" outlineLevel="0" collapsed="false">
      <c r="A156" s="1" t="s">
        <v>172</v>
      </c>
      <c r="B156" s="2" t="s">
        <v>173</v>
      </c>
      <c r="C156" s="2" t="s">
        <v>106</v>
      </c>
      <c r="D156" s="3" t="s">
        <v>61</v>
      </c>
      <c r="E156" s="37" t="s">
        <v>174</v>
      </c>
      <c r="F156" s="37" t="s">
        <v>70</v>
      </c>
      <c r="G156" s="0" t="s">
        <v>63</v>
      </c>
      <c r="H156" s="0" t="n">
        <v>144</v>
      </c>
      <c r="I156" s="20" t="n">
        <v>1</v>
      </c>
      <c r="J156" s="0" t="s">
        <v>78</v>
      </c>
      <c r="K156" s="20" t="n">
        <v>30</v>
      </c>
      <c r="M156" s="0" t="n">
        <v>15.9</v>
      </c>
      <c r="N156" s="0" t="n">
        <v>0</v>
      </c>
      <c r="O156" s="21" t="n">
        <v>4.1</v>
      </c>
      <c r="P156" s="21" t="n">
        <v>7.5</v>
      </c>
      <c r="Q156" s="21" t="n">
        <v>2.2</v>
      </c>
      <c r="R156" s="0" t="s">
        <v>175</v>
      </c>
      <c r="S156" s="0" t="n">
        <v>10</v>
      </c>
      <c r="T156" s="0" t="s">
        <v>65</v>
      </c>
      <c r="W156" s="0" t="n">
        <v>42</v>
      </c>
      <c r="Y156" s="0" t="s">
        <v>107</v>
      </c>
      <c r="Z156" s="0" t="s">
        <v>176</v>
      </c>
      <c r="AA156" s="0" t="s">
        <v>178</v>
      </c>
    </row>
    <row r="157" customFormat="false" ht="15" hidden="false" customHeight="false" outlineLevel="0" collapsed="false">
      <c r="A157" s="1" t="s">
        <v>172</v>
      </c>
      <c r="B157" s="2" t="s">
        <v>173</v>
      </c>
      <c r="C157" s="2" t="s">
        <v>106</v>
      </c>
      <c r="D157" s="3" t="s">
        <v>61</v>
      </c>
      <c r="E157" s="37" t="s">
        <v>174</v>
      </c>
      <c r="F157" s="37" t="s">
        <v>70</v>
      </c>
      <c r="G157" s="0" t="s">
        <v>63</v>
      </c>
      <c r="H157" s="0" t="n">
        <v>144</v>
      </c>
      <c r="I157" s="20" t="n">
        <v>6</v>
      </c>
      <c r="J157" s="0" t="s">
        <v>78</v>
      </c>
      <c r="K157" s="20" t="n">
        <v>30</v>
      </c>
      <c r="M157" s="0" t="n">
        <v>15.9</v>
      </c>
      <c r="N157" s="0" t="n">
        <v>0</v>
      </c>
      <c r="O157" s="21" t="n">
        <v>3.6</v>
      </c>
      <c r="P157" s="21" t="n">
        <v>7.8</v>
      </c>
      <c r="Q157" s="21" t="n">
        <v>2.6</v>
      </c>
      <c r="R157" s="0" t="s">
        <v>175</v>
      </c>
      <c r="S157" s="0" t="n">
        <v>10</v>
      </c>
      <c r="T157" s="0" t="s">
        <v>65</v>
      </c>
      <c r="W157" s="0" t="n">
        <v>29.6</v>
      </c>
      <c r="Y157" s="0" t="s">
        <v>107</v>
      </c>
      <c r="Z157" s="0" t="s">
        <v>176</v>
      </c>
      <c r="AA157" s="0" t="s">
        <v>178</v>
      </c>
    </row>
    <row r="158" customFormat="false" ht="15" hidden="false" customHeight="false" outlineLevel="0" collapsed="false">
      <c r="A158" s="1" t="s">
        <v>172</v>
      </c>
      <c r="B158" s="2" t="s">
        <v>173</v>
      </c>
      <c r="C158" s="2" t="s">
        <v>106</v>
      </c>
      <c r="D158" s="3" t="s">
        <v>61</v>
      </c>
      <c r="E158" s="37" t="s">
        <v>174</v>
      </c>
      <c r="F158" s="37" t="s">
        <v>62</v>
      </c>
      <c r="G158" s="0" t="s">
        <v>63</v>
      </c>
      <c r="H158" s="0" t="n">
        <v>144</v>
      </c>
      <c r="I158" s="20" t="n">
        <v>2</v>
      </c>
      <c r="J158" s="0" t="s">
        <v>78</v>
      </c>
      <c r="K158" s="20" t="n">
        <v>30</v>
      </c>
      <c r="M158" s="0" t="n">
        <v>10.5</v>
      </c>
      <c r="N158" s="0" t="n">
        <v>0</v>
      </c>
      <c r="O158" s="21" t="n">
        <v>8.2</v>
      </c>
      <c r="P158" s="21" t="n">
        <v>7.6</v>
      </c>
      <c r="Q158" s="21" t="n">
        <v>2.8</v>
      </c>
      <c r="R158" s="0" t="s">
        <v>175</v>
      </c>
      <c r="S158" s="0" t="n">
        <v>10</v>
      </c>
      <c r="T158" s="0" t="s">
        <v>65</v>
      </c>
      <c r="W158" s="0" t="n">
        <v>38</v>
      </c>
      <c r="Y158" s="0" t="s">
        <v>107</v>
      </c>
      <c r="Z158" s="0" t="s">
        <v>176</v>
      </c>
      <c r="AA158" s="0" t="s">
        <v>178</v>
      </c>
    </row>
    <row r="159" customFormat="false" ht="15" hidden="false" customHeight="false" outlineLevel="0" collapsed="false">
      <c r="A159" s="1" t="s">
        <v>172</v>
      </c>
      <c r="B159" s="2" t="s">
        <v>173</v>
      </c>
      <c r="C159" s="2" t="s">
        <v>106</v>
      </c>
      <c r="D159" s="3" t="s">
        <v>61</v>
      </c>
      <c r="E159" s="37" t="s">
        <v>174</v>
      </c>
      <c r="F159" s="37" t="s">
        <v>70</v>
      </c>
      <c r="G159" s="0" t="s">
        <v>63</v>
      </c>
      <c r="H159" s="0" t="n">
        <v>144</v>
      </c>
      <c r="I159" s="20" t="n">
        <v>2</v>
      </c>
      <c r="J159" s="0" t="s">
        <v>78</v>
      </c>
      <c r="K159" s="20" t="n">
        <v>30</v>
      </c>
      <c r="M159" s="0" t="n">
        <v>10.5</v>
      </c>
      <c r="N159" s="0" t="n">
        <v>0</v>
      </c>
      <c r="O159" s="21" t="n">
        <v>2.8</v>
      </c>
      <c r="P159" s="21" t="n">
        <v>7.7</v>
      </c>
      <c r="Q159" s="21" t="n">
        <v>2.7</v>
      </c>
      <c r="R159" s="0" t="s">
        <v>175</v>
      </c>
      <c r="S159" s="0" t="n">
        <v>10</v>
      </c>
      <c r="T159" s="0" t="s">
        <v>65</v>
      </c>
      <c r="W159" s="0" t="n">
        <v>25.1</v>
      </c>
      <c r="Y159" s="0" t="s">
        <v>107</v>
      </c>
      <c r="Z159" s="0" t="s">
        <v>176</v>
      </c>
      <c r="AA159" s="0" t="s">
        <v>178</v>
      </c>
    </row>
    <row r="160" customFormat="false" ht="15" hidden="false" customHeight="false" outlineLevel="0" collapsed="false">
      <c r="A160" s="1" t="s">
        <v>172</v>
      </c>
      <c r="B160" s="2" t="s">
        <v>173</v>
      </c>
      <c r="C160" s="2" t="s">
        <v>106</v>
      </c>
      <c r="D160" s="3" t="s">
        <v>61</v>
      </c>
      <c r="E160" s="37" t="s">
        <v>174</v>
      </c>
      <c r="F160" s="37" t="s">
        <v>62</v>
      </c>
      <c r="G160" s="0" t="s">
        <v>63</v>
      </c>
      <c r="H160" s="0" t="n">
        <v>144</v>
      </c>
      <c r="I160" s="20" t="n">
        <v>3</v>
      </c>
      <c r="J160" s="0" t="s">
        <v>78</v>
      </c>
      <c r="K160" s="20" t="n">
        <v>30</v>
      </c>
      <c r="M160" s="0" t="n">
        <v>7.9</v>
      </c>
      <c r="N160" s="0" t="n">
        <v>0</v>
      </c>
      <c r="O160" s="21" t="n">
        <v>8.2</v>
      </c>
      <c r="P160" s="21" t="n">
        <v>7.6</v>
      </c>
      <c r="Q160" s="21" t="n">
        <v>2.8</v>
      </c>
      <c r="R160" s="0" t="s">
        <v>175</v>
      </c>
      <c r="S160" s="0" t="n">
        <v>10</v>
      </c>
      <c r="T160" s="0" t="s">
        <v>65</v>
      </c>
      <c r="W160" s="0" t="n">
        <v>64.2</v>
      </c>
      <c r="Y160" s="0" t="s">
        <v>107</v>
      </c>
      <c r="Z160" s="0" t="s">
        <v>176</v>
      </c>
      <c r="AA160" s="0" t="s">
        <v>178</v>
      </c>
    </row>
    <row r="161" customFormat="false" ht="15" hidden="false" customHeight="false" outlineLevel="0" collapsed="false">
      <c r="A161" s="1" t="s">
        <v>172</v>
      </c>
      <c r="B161" s="2" t="s">
        <v>173</v>
      </c>
      <c r="C161" s="2" t="s">
        <v>106</v>
      </c>
      <c r="D161" s="3" t="s">
        <v>61</v>
      </c>
      <c r="E161" s="37" t="s">
        <v>174</v>
      </c>
      <c r="F161" s="37" t="s">
        <v>70</v>
      </c>
      <c r="G161" s="0" t="s">
        <v>63</v>
      </c>
      <c r="H161" s="0" t="n">
        <v>144</v>
      </c>
      <c r="I161" s="20" t="n">
        <v>3</v>
      </c>
      <c r="J161" s="0" t="s">
        <v>78</v>
      </c>
      <c r="K161" s="20" t="n">
        <v>30</v>
      </c>
      <c r="M161" s="0" t="n">
        <v>7.9</v>
      </c>
      <c r="N161" s="0" t="n">
        <v>0</v>
      </c>
      <c r="O161" s="21" t="n">
        <v>2.8</v>
      </c>
      <c r="P161" s="21" t="n">
        <v>7.7</v>
      </c>
      <c r="Q161" s="21" t="n">
        <v>2.7</v>
      </c>
      <c r="R161" s="0" t="s">
        <v>175</v>
      </c>
      <c r="S161" s="0" t="n">
        <v>10</v>
      </c>
      <c r="T161" s="0" t="s">
        <v>65</v>
      </c>
      <c r="W161" s="0" t="n">
        <v>39.9</v>
      </c>
      <c r="Y161" s="0" t="s">
        <v>107</v>
      </c>
      <c r="Z161" s="0" t="s">
        <v>176</v>
      </c>
      <c r="AA161" s="0" t="s">
        <v>178</v>
      </c>
    </row>
    <row r="162" customFormat="false" ht="15" hidden="false" customHeight="false" outlineLevel="0" collapsed="false">
      <c r="A162" s="1" t="s">
        <v>172</v>
      </c>
      <c r="B162" s="2" t="s">
        <v>173</v>
      </c>
      <c r="C162" s="2" t="s">
        <v>106</v>
      </c>
      <c r="D162" s="3" t="s">
        <v>61</v>
      </c>
      <c r="E162" s="37" t="s">
        <v>174</v>
      </c>
      <c r="F162" s="37" t="s">
        <v>62</v>
      </c>
      <c r="G162" s="0" t="s">
        <v>63</v>
      </c>
      <c r="H162" s="0" t="n">
        <v>144</v>
      </c>
      <c r="I162" s="20" t="n">
        <v>4</v>
      </c>
      <c r="J162" s="0" t="s">
        <v>78</v>
      </c>
      <c r="K162" s="20" t="n">
        <v>30</v>
      </c>
      <c r="M162" s="0" t="n">
        <v>1.5</v>
      </c>
      <c r="N162" s="0" t="n">
        <v>0</v>
      </c>
      <c r="O162" s="21" t="n">
        <v>10</v>
      </c>
      <c r="P162" s="21" t="n">
        <v>7.6</v>
      </c>
      <c r="Q162" s="21" t="n">
        <v>2.9</v>
      </c>
      <c r="R162" s="0" t="s">
        <v>175</v>
      </c>
      <c r="S162" s="0" t="n">
        <v>10</v>
      </c>
      <c r="T162" s="0" t="s">
        <v>65</v>
      </c>
      <c r="W162" s="0" t="n">
        <v>86.8</v>
      </c>
      <c r="Y162" s="0" t="s">
        <v>107</v>
      </c>
      <c r="Z162" s="0" t="s">
        <v>176</v>
      </c>
      <c r="AA162" s="0" t="s">
        <v>178</v>
      </c>
    </row>
    <row r="163" customFormat="false" ht="15" hidden="false" customHeight="false" outlineLevel="0" collapsed="false">
      <c r="A163" s="1" t="s">
        <v>172</v>
      </c>
      <c r="B163" s="2" t="s">
        <v>173</v>
      </c>
      <c r="C163" s="2" t="s">
        <v>106</v>
      </c>
      <c r="D163" s="3" t="s">
        <v>61</v>
      </c>
      <c r="E163" s="37" t="s">
        <v>174</v>
      </c>
      <c r="F163" s="37" t="s">
        <v>70</v>
      </c>
      <c r="G163" s="0" t="s">
        <v>63</v>
      </c>
      <c r="H163" s="0" t="n">
        <v>144</v>
      </c>
      <c r="I163" s="20" t="n">
        <v>4</v>
      </c>
      <c r="J163" s="0" t="s">
        <v>78</v>
      </c>
      <c r="K163" s="20" t="n">
        <v>30</v>
      </c>
      <c r="M163" s="0" t="n">
        <v>1.5</v>
      </c>
      <c r="N163" s="0" t="n">
        <v>0</v>
      </c>
      <c r="O163" s="21" t="n">
        <v>6</v>
      </c>
      <c r="P163" s="21" t="n">
        <v>7.7</v>
      </c>
      <c r="Q163" s="21" t="n">
        <v>2.9</v>
      </c>
      <c r="R163" s="0" t="s">
        <v>175</v>
      </c>
      <c r="S163" s="0" t="n">
        <v>10</v>
      </c>
      <c r="T163" s="0" t="s">
        <v>65</v>
      </c>
      <c r="W163" s="0" t="n">
        <v>44</v>
      </c>
      <c r="Y163" s="0" t="s">
        <v>107</v>
      </c>
      <c r="Z163" s="0" t="s">
        <v>176</v>
      </c>
      <c r="AA163" s="0" t="s">
        <v>178</v>
      </c>
    </row>
    <row r="164" customFormat="false" ht="15" hidden="false" customHeight="false" outlineLevel="0" collapsed="false">
      <c r="A164" s="1" t="s">
        <v>172</v>
      </c>
      <c r="B164" s="2" t="s">
        <v>173</v>
      </c>
      <c r="C164" s="2" t="s">
        <v>106</v>
      </c>
      <c r="D164" s="3" t="s">
        <v>61</v>
      </c>
      <c r="E164" s="37" t="s">
        <v>174</v>
      </c>
      <c r="F164" s="37" t="s">
        <v>62</v>
      </c>
      <c r="G164" s="0" t="s">
        <v>63</v>
      </c>
      <c r="H164" s="0" t="n">
        <v>144</v>
      </c>
      <c r="I164" s="20" t="n">
        <v>7</v>
      </c>
      <c r="J164" s="0" t="s">
        <v>78</v>
      </c>
      <c r="K164" s="20" t="n">
        <v>30</v>
      </c>
      <c r="M164" s="0" t="n">
        <v>1.5</v>
      </c>
      <c r="N164" s="0" t="n">
        <v>0</v>
      </c>
      <c r="O164" s="21" t="n">
        <v>10</v>
      </c>
      <c r="P164" s="21" t="n">
        <v>7.6</v>
      </c>
      <c r="Q164" s="21" t="n">
        <v>2.9</v>
      </c>
      <c r="R164" s="0" t="s">
        <v>175</v>
      </c>
      <c r="S164" s="0" t="n">
        <v>10</v>
      </c>
      <c r="T164" s="0" t="s">
        <v>65</v>
      </c>
      <c r="W164" s="0" t="n">
        <v>86.8</v>
      </c>
      <c r="Y164" s="0" t="s">
        <v>107</v>
      </c>
      <c r="Z164" s="0" t="s">
        <v>176</v>
      </c>
      <c r="AA164" s="0" t="s">
        <v>178</v>
      </c>
    </row>
    <row r="165" customFormat="false" ht="15" hidden="false" customHeight="false" outlineLevel="0" collapsed="false">
      <c r="A165" s="1" t="s">
        <v>172</v>
      </c>
      <c r="B165" s="2" t="s">
        <v>173</v>
      </c>
      <c r="C165" s="2" t="s">
        <v>106</v>
      </c>
      <c r="D165" s="3" t="s">
        <v>61</v>
      </c>
      <c r="E165" s="37" t="s">
        <v>174</v>
      </c>
      <c r="F165" s="37" t="s">
        <v>70</v>
      </c>
      <c r="G165" s="0" t="s">
        <v>63</v>
      </c>
      <c r="H165" s="0" t="n">
        <v>144</v>
      </c>
      <c r="I165" s="20" t="n">
        <v>7</v>
      </c>
      <c r="J165" s="0" t="s">
        <v>78</v>
      </c>
      <c r="K165" s="20" t="n">
        <v>30</v>
      </c>
      <c r="M165" s="0" t="n">
        <v>1.5</v>
      </c>
      <c r="N165" s="0" t="n">
        <v>0</v>
      </c>
      <c r="O165" s="21" t="n">
        <v>5.2</v>
      </c>
      <c r="P165" s="21" t="n">
        <v>7.7</v>
      </c>
      <c r="Q165" s="21" t="n">
        <v>3</v>
      </c>
      <c r="R165" s="0" t="s">
        <v>175</v>
      </c>
      <c r="S165" s="0" t="n">
        <v>10</v>
      </c>
      <c r="T165" s="0" t="s">
        <v>65</v>
      </c>
      <c r="W165" s="0" t="n">
        <v>38.4</v>
      </c>
      <c r="Y165" s="0" t="s">
        <v>107</v>
      </c>
      <c r="Z165" s="0" t="s">
        <v>176</v>
      </c>
      <c r="AA165" s="0" t="s">
        <v>178</v>
      </c>
    </row>
    <row r="166" customFormat="false" ht="15" hidden="false" customHeight="false" outlineLevel="0" collapsed="false">
      <c r="A166" s="1" t="s">
        <v>172</v>
      </c>
      <c r="B166" s="2" t="s">
        <v>173</v>
      </c>
      <c r="C166" s="2" t="s">
        <v>106</v>
      </c>
      <c r="D166" s="3" t="s">
        <v>61</v>
      </c>
      <c r="E166" s="37" t="s">
        <v>174</v>
      </c>
      <c r="F166" s="37" t="s">
        <v>62</v>
      </c>
      <c r="G166" s="0" t="s">
        <v>63</v>
      </c>
      <c r="H166" s="0" t="n">
        <v>144</v>
      </c>
      <c r="I166" s="20" t="n">
        <v>5</v>
      </c>
      <c r="J166" s="0" t="s">
        <v>78</v>
      </c>
      <c r="K166" s="20" t="n">
        <v>30</v>
      </c>
      <c r="M166" s="0" t="n">
        <v>0.5</v>
      </c>
      <c r="N166" s="0" t="n">
        <v>0</v>
      </c>
      <c r="O166" s="21" t="n">
        <v>10</v>
      </c>
      <c r="P166" s="21" t="n">
        <v>7.6</v>
      </c>
      <c r="Q166" s="21" t="n">
        <v>2.9</v>
      </c>
      <c r="R166" s="0" t="s">
        <v>175</v>
      </c>
      <c r="S166" s="0" t="n">
        <v>10</v>
      </c>
      <c r="T166" s="0" t="s">
        <v>65</v>
      </c>
      <c r="W166" s="0" t="n">
        <v>71.1</v>
      </c>
      <c r="Y166" s="0" t="s">
        <v>107</v>
      </c>
      <c r="Z166" s="0" t="s">
        <v>176</v>
      </c>
      <c r="AA166" s="0" t="s">
        <v>178</v>
      </c>
    </row>
    <row r="167" customFormat="false" ht="15" hidden="false" customHeight="false" outlineLevel="0" collapsed="false">
      <c r="A167" s="1" t="s">
        <v>172</v>
      </c>
      <c r="B167" s="2" t="s">
        <v>173</v>
      </c>
      <c r="C167" s="2" t="s">
        <v>106</v>
      </c>
      <c r="D167" s="3" t="s">
        <v>61</v>
      </c>
      <c r="E167" s="37" t="s">
        <v>174</v>
      </c>
      <c r="F167" s="37" t="s">
        <v>70</v>
      </c>
      <c r="G167" s="0" t="s">
        <v>63</v>
      </c>
      <c r="H167" s="0" t="n">
        <v>144</v>
      </c>
      <c r="I167" s="20" t="n">
        <v>5</v>
      </c>
      <c r="J167" s="0" t="s">
        <v>78</v>
      </c>
      <c r="K167" s="20" t="n">
        <v>30</v>
      </c>
      <c r="M167" s="0" t="n">
        <v>0.5</v>
      </c>
      <c r="N167" s="0" t="n">
        <v>0</v>
      </c>
      <c r="O167" s="21" t="n">
        <v>6</v>
      </c>
      <c r="P167" s="21" t="n">
        <v>7.7</v>
      </c>
      <c r="Q167" s="21" t="n">
        <v>2.9</v>
      </c>
      <c r="R167" s="0" t="s">
        <v>175</v>
      </c>
      <c r="S167" s="0" t="n">
        <v>10</v>
      </c>
      <c r="T167" s="0" t="s">
        <v>65</v>
      </c>
      <c r="W167" s="0" t="n">
        <v>45.5</v>
      </c>
      <c r="Y167" s="0" t="s">
        <v>107</v>
      </c>
      <c r="Z167" s="0" t="s">
        <v>176</v>
      </c>
      <c r="AA167" s="0" t="s">
        <v>178</v>
      </c>
    </row>
    <row r="168" customFormat="false" ht="15" hidden="false" customHeight="false" outlineLevel="0" collapsed="false">
      <c r="A168" s="1" t="s">
        <v>172</v>
      </c>
      <c r="B168" s="2" t="s">
        <v>173</v>
      </c>
      <c r="C168" s="2" t="s">
        <v>106</v>
      </c>
      <c r="D168" s="3" t="s">
        <v>61</v>
      </c>
      <c r="E168" s="37" t="s">
        <v>174</v>
      </c>
      <c r="F168" s="37" t="s">
        <v>62</v>
      </c>
      <c r="G168" s="0" t="s">
        <v>63</v>
      </c>
      <c r="H168" s="0" t="n">
        <v>144</v>
      </c>
      <c r="I168" s="20" t="n">
        <v>8</v>
      </c>
      <c r="J168" s="0" t="s">
        <v>78</v>
      </c>
      <c r="K168" s="20" t="n">
        <v>30</v>
      </c>
      <c r="M168" s="0" t="n">
        <v>0.5</v>
      </c>
      <c r="N168" s="0" t="n">
        <v>0</v>
      </c>
      <c r="O168" s="21" t="n">
        <v>10</v>
      </c>
      <c r="P168" s="21" t="n">
        <v>7.6</v>
      </c>
      <c r="Q168" s="21" t="n">
        <v>2.9</v>
      </c>
      <c r="R168" s="0" t="s">
        <v>175</v>
      </c>
      <c r="S168" s="0" t="n">
        <v>10</v>
      </c>
      <c r="T168" s="0" t="s">
        <v>65</v>
      </c>
      <c r="W168" s="0" t="n">
        <v>71.1</v>
      </c>
      <c r="Y168" s="0" t="s">
        <v>107</v>
      </c>
      <c r="Z168" s="0" t="s">
        <v>176</v>
      </c>
      <c r="AA168" s="0" t="s">
        <v>178</v>
      </c>
    </row>
    <row r="169" customFormat="false" ht="15" hidden="false" customHeight="false" outlineLevel="0" collapsed="false">
      <c r="A169" s="1" t="s">
        <v>172</v>
      </c>
      <c r="B169" s="2" t="s">
        <v>173</v>
      </c>
      <c r="C169" s="2" t="s">
        <v>106</v>
      </c>
      <c r="D169" s="3" t="s">
        <v>61</v>
      </c>
      <c r="E169" s="37" t="s">
        <v>174</v>
      </c>
      <c r="F169" s="37" t="s">
        <v>70</v>
      </c>
      <c r="G169" s="0" t="s">
        <v>63</v>
      </c>
      <c r="H169" s="0" t="n">
        <v>144</v>
      </c>
      <c r="I169" s="20" t="n">
        <v>8</v>
      </c>
      <c r="J169" s="0" t="s">
        <v>78</v>
      </c>
      <c r="K169" s="20" t="n">
        <v>30</v>
      </c>
      <c r="M169" s="0" t="n">
        <v>0.5</v>
      </c>
      <c r="N169" s="0" t="n">
        <v>0</v>
      </c>
      <c r="O169" s="21" t="n">
        <v>5.2</v>
      </c>
      <c r="P169" s="21" t="n">
        <v>7.7</v>
      </c>
      <c r="Q169" s="21" t="n">
        <v>3</v>
      </c>
      <c r="R169" s="0" t="s">
        <v>175</v>
      </c>
      <c r="S169" s="0" t="n">
        <v>10</v>
      </c>
      <c r="T169" s="0" t="s">
        <v>65</v>
      </c>
      <c r="W169" s="0" t="n">
        <v>40.7</v>
      </c>
      <c r="Y169" s="0" t="s">
        <v>107</v>
      </c>
      <c r="Z169" s="0" t="s">
        <v>176</v>
      </c>
      <c r="AA169" s="0" t="s">
        <v>178</v>
      </c>
    </row>
    <row r="170" customFormat="false" ht="15" hidden="false" customHeight="true" outlineLevel="0" collapsed="false">
      <c r="A170" s="1" t="s">
        <v>179</v>
      </c>
      <c r="C170" s="2" t="s">
        <v>106</v>
      </c>
      <c r="D170" s="3" t="s">
        <v>140</v>
      </c>
      <c r="E170" s="37" t="s">
        <v>62</v>
      </c>
      <c r="F170" s="37" t="s">
        <v>62</v>
      </c>
      <c r="G170" s="0" t="s">
        <v>106</v>
      </c>
      <c r="H170" s="0" t="n">
        <v>96</v>
      </c>
      <c r="I170" s="20" t="n">
        <v>1</v>
      </c>
      <c r="J170" s="0" t="s">
        <v>78</v>
      </c>
      <c r="K170" s="0" t="n">
        <v>30</v>
      </c>
      <c r="M170" s="0" t="n">
        <v>14.5</v>
      </c>
      <c r="N170" s="0" t="n">
        <v>0</v>
      </c>
      <c r="O170" s="21" t="n">
        <v>3.4</v>
      </c>
      <c r="P170" s="21" t="n">
        <v>8.1</v>
      </c>
      <c r="Q170" s="21" t="n">
        <v>4.1</v>
      </c>
      <c r="R170" s="0" t="s">
        <v>180</v>
      </c>
      <c r="S170" s="0" t="n">
        <v>4.1</v>
      </c>
      <c r="T170" s="0" t="s">
        <v>88</v>
      </c>
      <c r="U170" s="0" t="n">
        <v>1.45</v>
      </c>
      <c r="V170" s="0" t="n">
        <v>0.18</v>
      </c>
      <c r="W170" s="0" t="n">
        <v>15</v>
      </c>
      <c r="Y170" s="0" t="s">
        <v>181</v>
      </c>
      <c r="Z170" s="23" t="s">
        <v>182</v>
      </c>
    </row>
    <row r="171" customFormat="false" ht="15" hidden="false" customHeight="true" outlineLevel="0" collapsed="false">
      <c r="A171" s="1" t="s">
        <v>179</v>
      </c>
      <c r="B171" s="2" t="s">
        <v>183</v>
      </c>
      <c r="C171" s="2" t="s">
        <v>106</v>
      </c>
      <c r="D171" s="3" t="s">
        <v>140</v>
      </c>
      <c r="E171" s="37" t="s">
        <v>70</v>
      </c>
      <c r="F171" s="37" t="s">
        <v>70</v>
      </c>
      <c r="G171" s="0" t="s">
        <v>106</v>
      </c>
      <c r="H171" s="0" t="n">
        <v>96</v>
      </c>
      <c r="I171" s="20" t="n">
        <v>1</v>
      </c>
      <c r="J171" s="0" t="s">
        <v>78</v>
      </c>
      <c r="K171" s="0" t="n">
        <v>30</v>
      </c>
      <c r="M171" s="0" t="n">
        <v>14.5</v>
      </c>
      <c r="N171" s="0" t="n">
        <v>0</v>
      </c>
      <c r="O171" s="21" t="n">
        <v>2.3</v>
      </c>
      <c r="P171" s="21" t="n">
        <v>8.2</v>
      </c>
      <c r="Q171" s="21" t="n">
        <v>4</v>
      </c>
      <c r="R171" s="0" t="s">
        <v>184</v>
      </c>
      <c r="S171" s="0" t="n">
        <v>4.1</v>
      </c>
      <c r="T171" s="0" t="s">
        <v>88</v>
      </c>
      <c r="U171" s="0" t="n">
        <v>1.45</v>
      </c>
      <c r="V171" s="0" t="n">
        <v>0.18</v>
      </c>
      <c r="W171" s="0" t="n">
        <v>12</v>
      </c>
      <c r="Y171" s="0" t="s">
        <v>185</v>
      </c>
      <c r="Z171" s="23" t="s">
        <v>182</v>
      </c>
    </row>
    <row r="172" customFormat="false" ht="15" hidden="false" customHeight="true" outlineLevel="0" collapsed="false">
      <c r="A172" s="1" t="s">
        <v>179</v>
      </c>
      <c r="C172" s="2" t="s">
        <v>106</v>
      </c>
      <c r="D172" s="3" t="s">
        <v>140</v>
      </c>
      <c r="E172" s="37" t="s">
        <v>62</v>
      </c>
      <c r="F172" s="37" t="s">
        <v>62</v>
      </c>
      <c r="G172" s="0" t="s">
        <v>106</v>
      </c>
      <c r="H172" s="0" t="n">
        <v>96</v>
      </c>
      <c r="I172" s="20" t="n">
        <v>2</v>
      </c>
      <c r="J172" s="0" t="s">
        <v>78</v>
      </c>
      <c r="K172" s="0" t="n">
        <v>30</v>
      </c>
      <c r="M172" s="0" t="n">
        <v>14.5</v>
      </c>
      <c r="N172" s="0" t="n">
        <v>0</v>
      </c>
      <c r="O172" s="21" t="n">
        <v>3.4</v>
      </c>
      <c r="P172" s="21" t="n">
        <v>8.1</v>
      </c>
      <c r="Q172" s="21" t="n">
        <v>4.1</v>
      </c>
      <c r="R172" s="0" t="s">
        <v>166</v>
      </c>
      <c r="S172" s="0" t="n">
        <v>19</v>
      </c>
      <c r="T172" s="0" t="s">
        <v>88</v>
      </c>
      <c r="U172" s="0" t="n">
        <v>1.45</v>
      </c>
      <c r="V172" s="0" t="n">
        <v>0.18</v>
      </c>
      <c r="W172" s="0" t="n">
        <v>9</v>
      </c>
      <c r="Y172" s="0" t="s">
        <v>186</v>
      </c>
      <c r="Z172" s="23" t="s">
        <v>182</v>
      </c>
    </row>
    <row r="173" customFormat="false" ht="15" hidden="false" customHeight="true" outlineLevel="0" collapsed="false">
      <c r="A173" s="1" t="s">
        <v>179</v>
      </c>
      <c r="B173" s="2" t="s">
        <v>183</v>
      </c>
      <c r="C173" s="2" t="s">
        <v>106</v>
      </c>
      <c r="D173" s="3" t="s">
        <v>140</v>
      </c>
      <c r="E173" s="37" t="s">
        <v>70</v>
      </c>
      <c r="F173" s="37" t="s">
        <v>70</v>
      </c>
      <c r="G173" s="0" t="s">
        <v>106</v>
      </c>
      <c r="H173" s="0" t="n">
        <v>96</v>
      </c>
      <c r="I173" s="20" t="n">
        <v>2</v>
      </c>
      <c r="J173" s="0" t="s">
        <v>78</v>
      </c>
      <c r="K173" s="0" t="n">
        <v>30</v>
      </c>
      <c r="M173" s="0" t="n">
        <v>14.5</v>
      </c>
      <c r="N173" s="0" t="n">
        <v>0</v>
      </c>
      <c r="O173" s="21" t="n">
        <v>2.3</v>
      </c>
      <c r="P173" s="21" t="n">
        <v>8.2</v>
      </c>
      <c r="Q173" s="21" t="n">
        <v>4</v>
      </c>
      <c r="R173" s="0" t="s">
        <v>166</v>
      </c>
      <c r="S173" s="0" t="n">
        <v>19</v>
      </c>
      <c r="T173" s="0" t="s">
        <v>88</v>
      </c>
      <c r="U173" s="0" t="n">
        <v>1.45</v>
      </c>
      <c r="V173" s="0" t="n">
        <v>0.18</v>
      </c>
      <c r="W173" s="0" t="n">
        <v>5</v>
      </c>
      <c r="Y173" s="0" t="s">
        <v>187</v>
      </c>
      <c r="Z173" s="23" t="s">
        <v>182</v>
      </c>
    </row>
    <row r="174" customFormat="false" ht="15" hidden="false" customHeight="true" outlineLevel="0" collapsed="false">
      <c r="A174" s="1" t="s">
        <v>188</v>
      </c>
      <c r="C174" s="2" t="s">
        <v>60</v>
      </c>
      <c r="D174" s="3" t="s">
        <v>61</v>
      </c>
      <c r="E174" s="3" t="s">
        <v>62</v>
      </c>
      <c r="F174" s="3" t="s">
        <v>62</v>
      </c>
      <c r="G174" s="0" t="s">
        <v>128</v>
      </c>
      <c r="H174" s="0" t="n">
        <v>96</v>
      </c>
      <c r="I174" s="44" t="n">
        <v>1</v>
      </c>
      <c r="J174" s="0" t="s">
        <v>78</v>
      </c>
      <c r="K174" s="45" t="n">
        <f aca="false">75/Q174</f>
        <v>21.4285714285714</v>
      </c>
      <c r="O174" s="46" t="n">
        <v>11.3</v>
      </c>
      <c r="P174" s="46" t="n">
        <v>7.1</v>
      </c>
      <c r="Q174" s="46" t="n">
        <v>3.5</v>
      </c>
      <c r="S174" s="0" t="n">
        <v>16</v>
      </c>
      <c r="T174" s="0" t="s">
        <v>65</v>
      </c>
      <c r="W174" s="27" t="n">
        <v>29</v>
      </c>
      <c r="X174" s="27"/>
      <c r="Y174" s="0" t="s">
        <v>189</v>
      </c>
      <c r="Z174" s="0" t="s">
        <v>190</v>
      </c>
    </row>
    <row r="175" customFormat="false" ht="15" hidden="false" customHeight="true" outlineLevel="0" collapsed="false">
      <c r="A175" s="1" t="s">
        <v>188</v>
      </c>
      <c r="C175" s="2" t="s">
        <v>60</v>
      </c>
      <c r="D175" s="3" t="s">
        <v>61</v>
      </c>
      <c r="E175" s="3" t="s">
        <v>62</v>
      </c>
      <c r="F175" s="3" t="s">
        <v>62</v>
      </c>
      <c r="G175" s="0" t="s">
        <v>128</v>
      </c>
      <c r="H175" s="0" t="n">
        <v>96</v>
      </c>
      <c r="I175" s="44" t="n">
        <v>2</v>
      </c>
      <c r="J175" s="0" t="s">
        <v>78</v>
      </c>
      <c r="K175" s="45" t="n">
        <f aca="false">75/Q175</f>
        <v>21.4285714285714</v>
      </c>
      <c r="O175" s="46" t="n">
        <v>11.3</v>
      </c>
      <c r="P175" s="46" t="n">
        <v>7.1</v>
      </c>
      <c r="Q175" s="46" t="n">
        <v>3.5</v>
      </c>
      <c r="S175" s="0" t="n">
        <v>16</v>
      </c>
      <c r="T175" s="0" t="s">
        <v>65</v>
      </c>
      <c r="W175" s="27" t="n">
        <v>29</v>
      </c>
      <c r="X175" s="27"/>
      <c r="Y175" s="0" t="s">
        <v>189</v>
      </c>
      <c r="Z175" s="0" t="s">
        <v>190</v>
      </c>
    </row>
    <row r="176" customFormat="false" ht="15" hidden="false" customHeight="true" outlineLevel="0" collapsed="false">
      <c r="A176" s="1" t="s">
        <v>188</v>
      </c>
      <c r="C176" s="2" t="s">
        <v>60</v>
      </c>
      <c r="D176" s="3" t="s">
        <v>61</v>
      </c>
      <c r="E176" s="3" t="s">
        <v>62</v>
      </c>
      <c r="F176" s="3" t="s">
        <v>62</v>
      </c>
      <c r="G176" s="0" t="s">
        <v>128</v>
      </c>
      <c r="H176" s="0" t="n">
        <v>96</v>
      </c>
      <c r="I176" s="44" t="n">
        <v>3</v>
      </c>
      <c r="J176" s="0" t="s">
        <v>78</v>
      </c>
      <c r="K176" s="45" t="n">
        <f aca="false">75/Q176</f>
        <v>21.4285714285714</v>
      </c>
      <c r="O176" s="46" t="n">
        <v>11.3</v>
      </c>
      <c r="P176" s="46" t="n">
        <v>7.1</v>
      </c>
      <c r="Q176" s="46" t="n">
        <v>3.5</v>
      </c>
      <c r="S176" s="0" t="n">
        <v>16</v>
      </c>
      <c r="T176" s="0" t="s">
        <v>65</v>
      </c>
      <c r="W176" s="27" t="n">
        <v>29</v>
      </c>
      <c r="X176" s="27"/>
      <c r="Y176" s="0" t="s">
        <v>189</v>
      </c>
      <c r="Z176" s="0" t="s">
        <v>190</v>
      </c>
    </row>
    <row r="177" customFormat="false" ht="15" hidden="false" customHeight="true" outlineLevel="0" collapsed="false">
      <c r="A177" s="1" t="s">
        <v>188</v>
      </c>
      <c r="C177" s="2" t="s">
        <v>60</v>
      </c>
      <c r="D177" s="3" t="s">
        <v>61</v>
      </c>
      <c r="E177" s="3" t="s">
        <v>62</v>
      </c>
      <c r="F177" s="3" t="s">
        <v>62</v>
      </c>
      <c r="G177" s="0" t="s">
        <v>128</v>
      </c>
      <c r="H177" s="0" t="n">
        <v>96</v>
      </c>
      <c r="I177" s="44" t="n">
        <v>4</v>
      </c>
      <c r="J177" s="0" t="s">
        <v>78</v>
      </c>
      <c r="K177" s="45" t="n">
        <f aca="false">75/Q177</f>
        <v>21.4285714285714</v>
      </c>
      <c r="O177" s="46" t="n">
        <v>11.3</v>
      </c>
      <c r="P177" s="46" t="n">
        <v>7.1</v>
      </c>
      <c r="Q177" s="46" t="n">
        <v>3.5</v>
      </c>
      <c r="S177" s="0" t="n">
        <v>16</v>
      </c>
      <c r="T177" s="0" t="s">
        <v>65</v>
      </c>
      <c r="W177" s="27" t="n">
        <v>29</v>
      </c>
      <c r="X177" s="27"/>
      <c r="Y177" s="0" t="s">
        <v>189</v>
      </c>
      <c r="Z177" s="0" t="s">
        <v>190</v>
      </c>
    </row>
    <row r="178" customFormat="false" ht="15" hidden="false" customHeight="true" outlineLevel="0" collapsed="false">
      <c r="A178" s="1" t="s">
        <v>188</v>
      </c>
      <c r="C178" s="2" t="s">
        <v>60</v>
      </c>
      <c r="D178" s="3" t="s">
        <v>61</v>
      </c>
      <c r="E178" s="3" t="s">
        <v>62</v>
      </c>
      <c r="F178" s="3" t="s">
        <v>62</v>
      </c>
      <c r="G178" s="0" t="s">
        <v>128</v>
      </c>
      <c r="H178" s="0" t="n">
        <v>96</v>
      </c>
      <c r="I178" s="44" t="n">
        <v>5</v>
      </c>
      <c r="J178" s="0" t="s">
        <v>78</v>
      </c>
      <c r="K178" s="45" t="n">
        <f aca="false">75/Q178</f>
        <v>21.4285714285714</v>
      </c>
      <c r="O178" s="46" t="n">
        <v>11.3</v>
      </c>
      <c r="P178" s="46" t="n">
        <v>7.1</v>
      </c>
      <c r="Q178" s="46" t="n">
        <v>3.5</v>
      </c>
      <c r="S178" s="0" t="n">
        <v>16</v>
      </c>
      <c r="T178" s="0" t="s">
        <v>65</v>
      </c>
      <c r="W178" s="27" t="n">
        <v>29</v>
      </c>
      <c r="X178" s="27"/>
      <c r="Y178" s="0" t="s">
        <v>189</v>
      </c>
      <c r="Z178" s="0" t="s">
        <v>190</v>
      </c>
    </row>
    <row r="179" customFormat="false" ht="15" hidden="false" customHeight="true" outlineLevel="0" collapsed="false">
      <c r="A179" s="1" t="s">
        <v>188</v>
      </c>
      <c r="C179" s="2" t="s">
        <v>60</v>
      </c>
      <c r="D179" s="3" t="s">
        <v>61</v>
      </c>
      <c r="E179" s="3" t="s">
        <v>62</v>
      </c>
      <c r="F179" s="3" t="s">
        <v>62</v>
      </c>
      <c r="G179" s="0" t="s">
        <v>128</v>
      </c>
      <c r="H179" s="0" t="n">
        <v>96</v>
      </c>
      <c r="I179" s="44" t="n">
        <v>6</v>
      </c>
      <c r="J179" s="0" t="s">
        <v>78</v>
      </c>
      <c r="K179" s="45" t="n">
        <f aca="false">75/Q179</f>
        <v>21.4285714285714</v>
      </c>
      <c r="O179" s="46" t="n">
        <v>11.3</v>
      </c>
      <c r="P179" s="46" t="n">
        <v>7.1</v>
      </c>
      <c r="Q179" s="46" t="n">
        <v>3.5</v>
      </c>
      <c r="S179" s="0" t="n">
        <v>16</v>
      </c>
      <c r="T179" s="0" t="s">
        <v>65</v>
      </c>
      <c r="W179" s="27" t="n">
        <v>29</v>
      </c>
      <c r="X179" s="27"/>
      <c r="Y179" s="0" t="s">
        <v>189</v>
      </c>
      <c r="Z179" s="0" t="s">
        <v>190</v>
      </c>
    </row>
    <row r="180" customFormat="false" ht="15" hidden="false" customHeight="true" outlineLevel="0" collapsed="false">
      <c r="A180" s="1" t="s">
        <v>188</v>
      </c>
      <c r="C180" s="2" t="s">
        <v>60</v>
      </c>
      <c r="D180" s="3" t="s">
        <v>61</v>
      </c>
      <c r="E180" s="3" t="s">
        <v>62</v>
      </c>
      <c r="F180" s="3" t="s">
        <v>62</v>
      </c>
      <c r="G180" s="0" t="s">
        <v>128</v>
      </c>
      <c r="H180" s="0" t="n">
        <v>96</v>
      </c>
      <c r="I180" s="44" t="n">
        <v>7</v>
      </c>
      <c r="J180" s="0" t="s">
        <v>78</v>
      </c>
      <c r="K180" s="45" t="n">
        <f aca="false">75/Q180</f>
        <v>21.4285714285714</v>
      </c>
      <c r="O180" s="46" t="n">
        <v>11.3</v>
      </c>
      <c r="P180" s="46" t="n">
        <v>7.1</v>
      </c>
      <c r="Q180" s="46" t="n">
        <v>3.5</v>
      </c>
      <c r="S180" s="0" t="n">
        <v>16</v>
      </c>
      <c r="T180" s="0" t="s">
        <v>65</v>
      </c>
      <c r="W180" s="27" t="n">
        <v>29</v>
      </c>
      <c r="X180" s="27"/>
      <c r="Y180" s="0" t="s">
        <v>189</v>
      </c>
      <c r="Z180" s="0" t="s">
        <v>190</v>
      </c>
    </row>
    <row r="181" customFormat="false" ht="15" hidden="false" customHeight="true" outlineLevel="0" collapsed="false">
      <c r="A181" s="1" t="s">
        <v>188</v>
      </c>
      <c r="B181" s="2" t="s">
        <v>138</v>
      </c>
      <c r="C181" s="2" t="s">
        <v>60</v>
      </c>
      <c r="D181" s="3" t="s">
        <v>61</v>
      </c>
      <c r="E181" s="3" t="s">
        <v>70</v>
      </c>
      <c r="F181" s="3" t="s">
        <v>70</v>
      </c>
      <c r="G181" s="0" t="s">
        <v>128</v>
      </c>
      <c r="H181" s="0" t="n">
        <v>96</v>
      </c>
      <c r="I181" s="44" t="n">
        <v>1</v>
      </c>
      <c r="J181" s="0" t="s">
        <v>78</v>
      </c>
      <c r="K181" s="45" t="n">
        <f aca="false">75/Q181</f>
        <v>21.4285714285714</v>
      </c>
      <c r="O181" s="46" t="n">
        <v>10.5</v>
      </c>
      <c r="P181" s="46" t="n">
        <v>7.1</v>
      </c>
      <c r="Q181" s="46" t="n">
        <v>3.5</v>
      </c>
      <c r="S181" s="0" t="n">
        <v>16</v>
      </c>
      <c r="T181" s="0" t="s">
        <v>65</v>
      </c>
      <c r="W181" s="27" t="n">
        <v>26</v>
      </c>
      <c r="X181" s="27"/>
      <c r="Y181" s="0" t="s">
        <v>189</v>
      </c>
      <c r="Z181" s="0" t="s">
        <v>190</v>
      </c>
    </row>
    <row r="182" customFormat="false" ht="15" hidden="false" customHeight="true" outlineLevel="0" collapsed="false">
      <c r="A182" s="1" t="s">
        <v>188</v>
      </c>
      <c r="B182" s="2" t="s">
        <v>138</v>
      </c>
      <c r="C182" s="2" t="s">
        <v>60</v>
      </c>
      <c r="D182" s="3" t="s">
        <v>61</v>
      </c>
      <c r="E182" s="3" t="s">
        <v>70</v>
      </c>
      <c r="F182" s="3" t="s">
        <v>70</v>
      </c>
      <c r="G182" s="0" t="s">
        <v>128</v>
      </c>
      <c r="H182" s="0" t="n">
        <v>96</v>
      </c>
      <c r="I182" s="44" t="n">
        <v>2</v>
      </c>
      <c r="J182" s="0" t="s">
        <v>78</v>
      </c>
      <c r="K182" s="45" t="n">
        <f aca="false">75/Q182</f>
        <v>20.8333333333333</v>
      </c>
      <c r="O182" s="46" t="n">
        <v>10</v>
      </c>
      <c r="P182" s="46" t="n">
        <v>7.2</v>
      </c>
      <c r="Q182" s="46" t="n">
        <v>3.6</v>
      </c>
      <c r="S182" s="0" t="n">
        <v>16</v>
      </c>
      <c r="T182" s="0" t="s">
        <v>65</v>
      </c>
      <c r="W182" s="27" t="n">
        <v>25</v>
      </c>
      <c r="X182" s="27"/>
      <c r="Y182" s="0" t="s">
        <v>189</v>
      </c>
      <c r="Z182" s="0" t="s">
        <v>190</v>
      </c>
    </row>
    <row r="183" customFormat="false" ht="15" hidden="false" customHeight="true" outlineLevel="0" collapsed="false">
      <c r="A183" s="1" t="s">
        <v>188</v>
      </c>
      <c r="B183" s="2" t="s">
        <v>138</v>
      </c>
      <c r="C183" s="2" t="s">
        <v>60</v>
      </c>
      <c r="D183" s="3" t="s">
        <v>61</v>
      </c>
      <c r="E183" s="3" t="s">
        <v>70</v>
      </c>
      <c r="F183" s="3" t="s">
        <v>70</v>
      </c>
      <c r="G183" s="0" t="s">
        <v>128</v>
      </c>
      <c r="H183" s="0" t="n">
        <v>96</v>
      </c>
      <c r="I183" s="44" t="n">
        <v>3</v>
      </c>
      <c r="J183" s="0" t="s">
        <v>78</v>
      </c>
      <c r="K183" s="45" t="n">
        <f aca="false">75/Q183</f>
        <v>20.8333333333333</v>
      </c>
      <c r="O183" s="46" t="n">
        <v>8.6</v>
      </c>
      <c r="P183" s="46" t="n">
        <v>7.2</v>
      </c>
      <c r="Q183" s="46" t="n">
        <v>3.6</v>
      </c>
      <c r="S183" s="0" t="n">
        <v>16</v>
      </c>
      <c r="T183" s="0" t="s">
        <v>65</v>
      </c>
      <c r="W183" s="27" t="n">
        <v>21</v>
      </c>
      <c r="X183" s="27"/>
      <c r="Y183" s="0" t="s">
        <v>189</v>
      </c>
      <c r="Z183" s="0" t="s">
        <v>190</v>
      </c>
    </row>
    <row r="184" customFormat="false" ht="15" hidden="false" customHeight="true" outlineLevel="0" collapsed="false">
      <c r="A184" s="1" t="s">
        <v>188</v>
      </c>
      <c r="B184" s="2" t="s">
        <v>138</v>
      </c>
      <c r="C184" s="2" t="s">
        <v>60</v>
      </c>
      <c r="D184" s="3" t="s">
        <v>61</v>
      </c>
      <c r="E184" s="3" t="s">
        <v>70</v>
      </c>
      <c r="F184" s="3" t="s">
        <v>70</v>
      </c>
      <c r="G184" s="0" t="s">
        <v>128</v>
      </c>
      <c r="H184" s="0" t="n">
        <v>96</v>
      </c>
      <c r="I184" s="44" t="n">
        <v>4</v>
      </c>
      <c r="J184" s="0" t="s">
        <v>78</v>
      </c>
      <c r="K184" s="45" t="n">
        <f aca="false">75/Q184</f>
        <v>20.8333333333333</v>
      </c>
      <c r="O184" s="46" t="n">
        <v>8.4</v>
      </c>
      <c r="P184" s="46" t="n">
        <v>7.2</v>
      </c>
      <c r="Q184" s="46" t="n">
        <v>3.6</v>
      </c>
      <c r="S184" s="0" t="n">
        <v>16</v>
      </c>
      <c r="T184" s="0" t="s">
        <v>65</v>
      </c>
      <c r="W184" s="27" t="n">
        <v>18</v>
      </c>
      <c r="X184" s="27"/>
      <c r="Y184" s="0" t="s">
        <v>189</v>
      </c>
      <c r="Z184" s="0" t="s">
        <v>190</v>
      </c>
    </row>
    <row r="185" customFormat="false" ht="15" hidden="false" customHeight="true" outlineLevel="0" collapsed="false">
      <c r="A185" s="1" t="s">
        <v>188</v>
      </c>
      <c r="B185" s="2" t="s">
        <v>138</v>
      </c>
      <c r="C185" s="2" t="s">
        <v>60</v>
      </c>
      <c r="D185" s="3" t="s">
        <v>61</v>
      </c>
      <c r="E185" s="3" t="s">
        <v>70</v>
      </c>
      <c r="F185" s="3" t="s">
        <v>70</v>
      </c>
      <c r="G185" s="0" t="s">
        <v>128</v>
      </c>
      <c r="H185" s="0" t="n">
        <v>96</v>
      </c>
      <c r="I185" s="44" t="n">
        <v>5</v>
      </c>
      <c r="J185" s="0" t="s">
        <v>78</v>
      </c>
      <c r="K185" s="45" t="n">
        <f aca="false">75/Q185</f>
        <v>20.8333333333333</v>
      </c>
      <c r="O185" s="46" t="n">
        <v>8.2</v>
      </c>
      <c r="P185" s="46" t="n">
        <v>7.2</v>
      </c>
      <c r="Q185" s="46" t="n">
        <v>3.6</v>
      </c>
      <c r="S185" s="0" t="n">
        <v>16</v>
      </c>
      <c r="T185" s="0" t="s">
        <v>65</v>
      </c>
      <c r="W185" s="27" t="n">
        <v>17</v>
      </c>
      <c r="X185" s="27"/>
      <c r="Y185" s="0" t="s">
        <v>189</v>
      </c>
      <c r="Z185" s="0" t="s">
        <v>190</v>
      </c>
    </row>
    <row r="186" customFormat="false" ht="15" hidden="false" customHeight="true" outlineLevel="0" collapsed="false">
      <c r="A186" s="1" t="s">
        <v>188</v>
      </c>
      <c r="B186" s="2" t="s">
        <v>138</v>
      </c>
      <c r="C186" s="2" t="s">
        <v>60</v>
      </c>
      <c r="D186" s="3" t="s">
        <v>61</v>
      </c>
      <c r="E186" s="3" t="s">
        <v>70</v>
      </c>
      <c r="F186" s="3" t="s">
        <v>70</v>
      </c>
      <c r="G186" s="0" t="s">
        <v>128</v>
      </c>
      <c r="H186" s="0" t="n">
        <v>96</v>
      </c>
      <c r="I186" s="44" t="n">
        <v>6</v>
      </c>
      <c r="J186" s="0" t="s">
        <v>78</v>
      </c>
      <c r="K186" s="45" t="n">
        <f aca="false">75/Q186</f>
        <v>20.8333333333333</v>
      </c>
      <c r="O186" s="46" t="n">
        <v>7.9</v>
      </c>
      <c r="P186" s="46" t="n">
        <v>7.2</v>
      </c>
      <c r="Q186" s="46" t="n">
        <v>3.6</v>
      </c>
      <c r="S186" s="0" t="n">
        <v>16</v>
      </c>
      <c r="T186" s="0" t="s">
        <v>65</v>
      </c>
      <c r="W186" s="27" t="n">
        <v>20</v>
      </c>
      <c r="X186" s="27"/>
      <c r="Y186" s="0" t="s">
        <v>189</v>
      </c>
      <c r="Z186" s="0" t="s">
        <v>190</v>
      </c>
    </row>
    <row r="187" customFormat="false" ht="15" hidden="false" customHeight="true" outlineLevel="0" collapsed="false">
      <c r="A187" s="1" t="s">
        <v>188</v>
      </c>
      <c r="B187" s="2" t="s">
        <v>138</v>
      </c>
      <c r="C187" s="2" t="s">
        <v>60</v>
      </c>
      <c r="D187" s="3" t="s">
        <v>61</v>
      </c>
      <c r="E187" s="3" t="s">
        <v>70</v>
      </c>
      <c r="F187" s="3" t="s">
        <v>70</v>
      </c>
      <c r="G187" s="0" t="s">
        <v>128</v>
      </c>
      <c r="H187" s="0" t="n">
        <v>96</v>
      </c>
      <c r="I187" s="44" t="n">
        <v>7</v>
      </c>
      <c r="J187" s="0" t="s">
        <v>78</v>
      </c>
      <c r="K187" s="45" t="n">
        <f aca="false">75/Q187</f>
        <v>20.8333333333333</v>
      </c>
      <c r="O187" s="46" t="n">
        <v>7.7</v>
      </c>
      <c r="P187" s="46" t="n">
        <v>7.2</v>
      </c>
      <c r="Q187" s="46" t="n">
        <v>3.6</v>
      </c>
      <c r="S187" s="0" t="n">
        <v>16</v>
      </c>
      <c r="T187" s="0" t="s">
        <v>65</v>
      </c>
      <c r="W187" s="27" t="n">
        <v>15</v>
      </c>
      <c r="X187" s="27"/>
      <c r="Y187" s="0" t="s">
        <v>189</v>
      </c>
      <c r="Z187" s="0" t="s">
        <v>190</v>
      </c>
    </row>
    <row r="188" customFormat="false" ht="15" hidden="false" customHeight="true" outlineLevel="0" collapsed="false">
      <c r="A188" s="1" t="s">
        <v>191</v>
      </c>
      <c r="C188" s="2" t="s">
        <v>60</v>
      </c>
      <c r="D188" s="3" t="s">
        <v>61</v>
      </c>
      <c r="E188" s="37" t="s">
        <v>62</v>
      </c>
      <c r="F188" s="37" t="s">
        <v>62</v>
      </c>
      <c r="G188" s="0" t="s">
        <v>63</v>
      </c>
      <c r="H188" s="0" t="n">
        <v>144</v>
      </c>
      <c r="I188" s="44" t="n">
        <v>1</v>
      </c>
      <c r="J188" s="0" t="s">
        <v>78</v>
      </c>
      <c r="K188" s="27" t="n">
        <v>80</v>
      </c>
      <c r="L188" s="0" t="n">
        <v>16</v>
      </c>
      <c r="N188" s="0" t="n">
        <v>0</v>
      </c>
      <c r="O188" s="46" t="n">
        <v>6.5</v>
      </c>
      <c r="P188" s="46" t="n">
        <v>7.5</v>
      </c>
      <c r="Q188" s="46" t="n">
        <v>1.1</v>
      </c>
      <c r="R188" s="0" t="s">
        <v>166</v>
      </c>
      <c r="S188" s="0" t="n">
        <v>10.4</v>
      </c>
      <c r="T188" s="0" t="s">
        <v>65</v>
      </c>
      <c r="U188" s="0" t="n">
        <v>1.42</v>
      </c>
      <c r="W188" s="28" t="n">
        <v>31.9</v>
      </c>
      <c r="X188" s="28"/>
      <c r="Y188" s="0" t="s">
        <v>107</v>
      </c>
      <c r="Z188" s="0" t="s">
        <v>190</v>
      </c>
      <c r="AA188" s="0" t="s">
        <v>192</v>
      </c>
      <c r="AB188" s="26"/>
    </row>
    <row r="189" customFormat="false" ht="15" hidden="false" customHeight="true" outlineLevel="0" collapsed="false">
      <c r="A189" s="1" t="s">
        <v>191</v>
      </c>
      <c r="B189" s="2" t="s">
        <v>193</v>
      </c>
      <c r="C189" s="2" t="s">
        <v>60</v>
      </c>
      <c r="D189" s="3" t="s">
        <v>61</v>
      </c>
      <c r="E189" s="3" t="s">
        <v>70</v>
      </c>
      <c r="F189" s="3" t="s">
        <v>70</v>
      </c>
      <c r="G189" s="0" t="s">
        <v>63</v>
      </c>
      <c r="H189" s="0" t="n">
        <v>144</v>
      </c>
      <c r="I189" s="44" t="n">
        <v>1</v>
      </c>
      <c r="J189" s="0" t="s">
        <v>78</v>
      </c>
      <c r="K189" s="27" t="n">
        <v>80</v>
      </c>
      <c r="L189" s="0" t="n">
        <v>16</v>
      </c>
      <c r="N189" s="0" t="n">
        <v>0</v>
      </c>
      <c r="O189" s="46" t="n">
        <v>4</v>
      </c>
      <c r="P189" s="46" t="n">
        <v>7.4</v>
      </c>
      <c r="Q189" s="46" t="n">
        <v>1.2</v>
      </c>
      <c r="R189" s="0" t="s">
        <v>166</v>
      </c>
      <c r="S189" s="0" t="n">
        <v>10.4</v>
      </c>
      <c r="T189" s="0" t="s">
        <v>65</v>
      </c>
      <c r="U189" s="0" t="n">
        <v>1.42</v>
      </c>
      <c r="W189" s="28" t="n">
        <v>32.6</v>
      </c>
      <c r="X189" s="28"/>
      <c r="Y189" s="0" t="s">
        <v>107</v>
      </c>
      <c r="Z189" s="0" t="s">
        <v>190</v>
      </c>
      <c r="AA189" s="0" t="s">
        <v>192</v>
      </c>
      <c r="AB189" s="26"/>
    </row>
    <row r="190" customFormat="false" ht="15" hidden="false" customHeight="true" outlineLevel="0" collapsed="false">
      <c r="A190" s="1" t="s">
        <v>194</v>
      </c>
      <c r="C190" s="2" t="s">
        <v>106</v>
      </c>
      <c r="D190" s="3" t="s">
        <v>61</v>
      </c>
      <c r="E190" s="3" t="s">
        <v>62</v>
      </c>
      <c r="F190" s="3" t="s">
        <v>62</v>
      </c>
      <c r="G190" s="0" t="s">
        <v>195</v>
      </c>
      <c r="H190" s="0" t="n">
        <v>144</v>
      </c>
      <c r="I190" s="44" t="n">
        <v>1</v>
      </c>
      <c r="J190" s="0" t="s">
        <v>78</v>
      </c>
      <c r="K190" s="0" t="n">
        <v>20</v>
      </c>
      <c r="L190" s="0" t="n">
        <v>8</v>
      </c>
      <c r="O190" s="46" t="n">
        <v>7.1</v>
      </c>
      <c r="P190" s="46"/>
      <c r="Q190" s="46" t="n">
        <v>2.8</v>
      </c>
      <c r="R190" s="0" t="s">
        <v>168</v>
      </c>
      <c r="T190" s="0" t="s">
        <v>145</v>
      </c>
      <c r="W190" s="0" t="n">
        <v>19</v>
      </c>
      <c r="Y190" s="0" t="s">
        <v>185</v>
      </c>
      <c r="Z190" s="23" t="s">
        <v>196</v>
      </c>
      <c r="AA190" s="0" t="s">
        <v>197</v>
      </c>
    </row>
    <row r="191" customFormat="false" ht="15" hidden="false" customHeight="true" outlineLevel="0" collapsed="false">
      <c r="A191" s="1" t="s">
        <v>194</v>
      </c>
      <c r="B191" s="2" t="s">
        <v>198</v>
      </c>
      <c r="C191" s="2" t="s">
        <v>106</v>
      </c>
      <c r="D191" s="3" t="s">
        <v>61</v>
      </c>
      <c r="E191" s="3" t="s">
        <v>70</v>
      </c>
      <c r="F191" s="3" t="s">
        <v>70</v>
      </c>
      <c r="G191" s="0" t="s">
        <v>195</v>
      </c>
      <c r="H191" s="0" t="n">
        <v>144</v>
      </c>
      <c r="I191" s="44" t="n">
        <v>1</v>
      </c>
      <c r="J191" s="0" t="s">
        <v>78</v>
      </c>
      <c r="K191" s="0" t="n">
        <v>20</v>
      </c>
      <c r="L191" s="0" t="n">
        <v>8</v>
      </c>
      <c r="O191" s="46" t="n">
        <v>4.4</v>
      </c>
      <c r="P191" s="46"/>
      <c r="Q191" s="46" t="n">
        <v>2.5</v>
      </c>
      <c r="R191" s="0" t="s">
        <v>168</v>
      </c>
      <c r="T191" s="0" t="s">
        <v>145</v>
      </c>
      <c r="W191" s="0" t="n">
        <v>7</v>
      </c>
      <c r="Y191" s="0" t="s">
        <v>186</v>
      </c>
      <c r="Z191" s="23" t="s">
        <v>196</v>
      </c>
      <c r="AA191" s="0" t="s">
        <v>197</v>
      </c>
    </row>
    <row r="192" customFormat="false" ht="15" hidden="false" customHeight="true" outlineLevel="0" collapsed="false">
      <c r="A192" s="1" t="s">
        <v>194</v>
      </c>
      <c r="C192" s="2" t="s">
        <v>106</v>
      </c>
      <c r="D192" s="3" t="s">
        <v>61</v>
      </c>
      <c r="E192" s="3" t="s">
        <v>62</v>
      </c>
      <c r="F192" s="3" t="s">
        <v>62</v>
      </c>
      <c r="G192" s="0" t="s">
        <v>195</v>
      </c>
      <c r="H192" s="0" t="n">
        <v>144</v>
      </c>
      <c r="I192" s="44" t="n">
        <v>2</v>
      </c>
      <c r="J192" s="0" t="s">
        <v>78</v>
      </c>
      <c r="K192" s="0" t="n">
        <v>20</v>
      </c>
      <c r="L192" s="0" t="n">
        <v>22</v>
      </c>
      <c r="O192" s="46" t="n">
        <v>7.1</v>
      </c>
      <c r="P192" s="46"/>
      <c r="Q192" s="46" t="n">
        <v>2.8</v>
      </c>
      <c r="R192" s="0" t="s">
        <v>168</v>
      </c>
      <c r="T192" s="0" t="s">
        <v>145</v>
      </c>
      <c r="W192" s="0" t="n">
        <v>90</v>
      </c>
      <c r="Y192" s="0" t="s">
        <v>187</v>
      </c>
      <c r="Z192" s="23" t="s">
        <v>196</v>
      </c>
      <c r="AA192" s="0" t="s">
        <v>197</v>
      </c>
    </row>
    <row r="193" customFormat="false" ht="15" hidden="false" customHeight="true" outlineLevel="0" collapsed="false">
      <c r="A193" s="1" t="s">
        <v>194</v>
      </c>
      <c r="B193" s="2" t="s">
        <v>198</v>
      </c>
      <c r="C193" s="2" t="s">
        <v>106</v>
      </c>
      <c r="D193" s="3" t="s">
        <v>61</v>
      </c>
      <c r="E193" s="3" t="s">
        <v>70</v>
      </c>
      <c r="F193" s="3" t="s">
        <v>70</v>
      </c>
      <c r="G193" s="0" t="s">
        <v>195</v>
      </c>
      <c r="H193" s="0" t="n">
        <v>144</v>
      </c>
      <c r="I193" s="44" t="n">
        <v>2</v>
      </c>
      <c r="J193" s="0" t="s">
        <v>78</v>
      </c>
      <c r="K193" s="0" t="n">
        <v>20</v>
      </c>
      <c r="L193" s="0" t="n">
        <v>22</v>
      </c>
      <c r="O193" s="46" t="n">
        <v>4.4</v>
      </c>
      <c r="P193" s="46"/>
      <c r="Q193" s="46" t="n">
        <v>2.5</v>
      </c>
      <c r="R193" s="0" t="s">
        <v>168</v>
      </c>
      <c r="T193" s="0" t="s">
        <v>145</v>
      </c>
      <c r="W193" s="0" t="n">
        <v>30</v>
      </c>
      <c r="Y193" s="0" t="s">
        <v>199</v>
      </c>
      <c r="Z193" s="23" t="s">
        <v>196</v>
      </c>
      <c r="AA193" s="0" t="s">
        <v>197</v>
      </c>
    </row>
    <row r="194" customFormat="false" ht="15" hidden="false" customHeight="true" outlineLevel="0" collapsed="false">
      <c r="A194" s="1" t="s">
        <v>194</v>
      </c>
      <c r="C194" s="2" t="s">
        <v>106</v>
      </c>
      <c r="D194" s="3" t="s">
        <v>61</v>
      </c>
      <c r="E194" s="3" t="s">
        <v>62</v>
      </c>
      <c r="F194" s="3" t="s">
        <v>62</v>
      </c>
      <c r="G194" s="0" t="s">
        <v>195</v>
      </c>
      <c r="H194" s="0" t="n">
        <v>144</v>
      </c>
      <c r="I194" s="44" t="n">
        <v>3</v>
      </c>
      <c r="J194" s="0" t="s">
        <v>78</v>
      </c>
      <c r="K194" s="0" t="n">
        <v>20</v>
      </c>
      <c r="L194" s="0" t="n">
        <v>19</v>
      </c>
      <c r="O194" s="46" t="n">
        <v>7.1</v>
      </c>
      <c r="P194" s="46"/>
      <c r="Q194" s="46" t="n">
        <v>2.8</v>
      </c>
      <c r="R194" s="0" t="s">
        <v>168</v>
      </c>
      <c r="T194" s="0" t="s">
        <v>145</v>
      </c>
      <c r="W194" s="0" t="n">
        <v>62</v>
      </c>
      <c r="Y194" s="0" t="s">
        <v>200</v>
      </c>
      <c r="Z194" s="23" t="s">
        <v>196</v>
      </c>
      <c r="AA194" s="0" t="s">
        <v>197</v>
      </c>
    </row>
    <row r="195" customFormat="false" ht="15" hidden="false" customHeight="true" outlineLevel="0" collapsed="false">
      <c r="A195" s="1" t="s">
        <v>194</v>
      </c>
      <c r="B195" s="2" t="s">
        <v>198</v>
      </c>
      <c r="C195" s="2" t="s">
        <v>106</v>
      </c>
      <c r="D195" s="3" t="s">
        <v>61</v>
      </c>
      <c r="E195" s="3" t="s">
        <v>70</v>
      </c>
      <c r="F195" s="3" t="s">
        <v>70</v>
      </c>
      <c r="G195" s="0" t="s">
        <v>195</v>
      </c>
      <c r="H195" s="0" t="n">
        <v>144</v>
      </c>
      <c r="I195" s="44" t="n">
        <v>3</v>
      </c>
      <c r="J195" s="0" t="s">
        <v>78</v>
      </c>
      <c r="K195" s="0" t="n">
        <v>20</v>
      </c>
      <c r="L195" s="0" t="n">
        <v>19</v>
      </c>
      <c r="O195" s="46" t="n">
        <v>4.4</v>
      </c>
      <c r="P195" s="46"/>
      <c r="Q195" s="46" t="n">
        <v>2.5</v>
      </c>
      <c r="R195" s="0" t="s">
        <v>168</v>
      </c>
      <c r="T195" s="0" t="s">
        <v>145</v>
      </c>
      <c r="W195" s="0" t="n">
        <v>75</v>
      </c>
      <c r="Y195" s="0" t="s">
        <v>201</v>
      </c>
      <c r="Z195" s="23" t="s">
        <v>196</v>
      </c>
      <c r="AA195" s="0" t="s">
        <v>197</v>
      </c>
    </row>
    <row r="196" customFormat="false" ht="15" hidden="false" customHeight="true" outlineLevel="0" collapsed="false">
      <c r="A196" s="1" t="s">
        <v>194</v>
      </c>
      <c r="C196" s="2" t="s">
        <v>106</v>
      </c>
      <c r="D196" s="3" t="s">
        <v>61</v>
      </c>
      <c r="E196" s="3" t="s">
        <v>62</v>
      </c>
      <c r="F196" s="3" t="s">
        <v>62</v>
      </c>
      <c r="G196" s="0" t="s">
        <v>195</v>
      </c>
      <c r="H196" s="0" t="n">
        <v>144</v>
      </c>
      <c r="I196" s="44" t="n">
        <v>4</v>
      </c>
      <c r="J196" s="0" t="s">
        <v>78</v>
      </c>
      <c r="K196" s="0" t="n">
        <v>20</v>
      </c>
      <c r="L196" s="0" t="n">
        <v>15</v>
      </c>
      <c r="O196" s="46" t="n">
        <v>7.1</v>
      </c>
      <c r="P196" s="46"/>
      <c r="Q196" s="46" t="n">
        <v>2.8</v>
      </c>
      <c r="R196" s="0" t="s">
        <v>168</v>
      </c>
      <c r="T196" s="0" t="s">
        <v>145</v>
      </c>
      <c r="W196" s="0" t="n">
        <v>25</v>
      </c>
      <c r="Y196" s="0" t="s">
        <v>202</v>
      </c>
      <c r="Z196" s="23" t="s">
        <v>196</v>
      </c>
      <c r="AA196" s="0" t="s">
        <v>197</v>
      </c>
    </row>
    <row r="197" customFormat="false" ht="15" hidden="false" customHeight="true" outlineLevel="0" collapsed="false">
      <c r="A197" s="1" t="s">
        <v>194</v>
      </c>
      <c r="B197" s="2" t="s">
        <v>198</v>
      </c>
      <c r="C197" s="2" t="s">
        <v>106</v>
      </c>
      <c r="D197" s="3" t="s">
        <v>61</v>
      </c>
      <c r="E197" s="3" t="s">
        <v>70</v>
      </c>
      <c r="F197" s="3" t="s">
        <v>70</v>
      </c>
      <c r="G197" s="0" t="s">
        <v>195</v>
      </c>
      <c r="H197" s="0" t="n">
        <v>144</v>
      </c>
      <c r="I197" s="44" t="n">
        <v>4</v>
      </c>
      <c r="J197" s="0" t="s">
        <v>78</v>
      </c>
      <c r="K197" s="0" t="n">
        <v>20</v>
      </c>
      <c r="L197" s="0" t="n">
        <v>15</v>
      </c>
      <c r="O197" s="46" t="n">
        <v>4.4</v>
      </c>
      <c r="P197" s="46"/>
      <c r="Q197" s="46" t="n">
        <v>2.5</v>
      </c>
      <c r="R197" s="0" t="s">
        <v>168</v>
      </c>
      <c r="T197" s="0" t="s">
        <v>145</v>
      </c>
      <c r="W197" s="0" t="n">
        <v>40</v>
      </c>
      <c r="Y197" s="0" t="s">
        <v>203</v>
      </c>
      <c r="Z197" s="23" t="s">
        <v>196</v>
      </c>
      <c r="AA197" s="0" t="s">
        <v>197</v>
      </c>
    </row>
    <row r="198" customFormat="false" ht="15" hidden="false" customHeight="true" outlineLevel="0" collapsed="false">
      <c r="A198" s="1" t="s">
        <v>194</v>
      </c>
      <c r="C198" s="2" t="s">
        <v>106</v>
      </c>
      <c r="D198" s="3" t="s">
        <v>61</v>
      </c>
      <c r="E198" s="3" t="s">
        <v>62</v>
      </c>
      <c r="F198" s="3" t="s">
        <v>62</v>
      </c>
      <c r="G198" s="0" t="s">
        <v>195</v>
      </c>
      <c r="H198" s="0" t="n">
        <v>144</v>
      </c>
      <c r="I198" s="44" t="n">
        <v>5</v>
      </c>
      <c r="J198" s="0" t="s">
        <v>204</v>
      </c>
      <c r="K198" s="0" t="n">
        <v>20</v>
      </c>
      <c r="L198" s="0" t="n">
        <v>8</v>
      </c>
      <c r="O198" s="46" t="n">
        <v>7.1</v>
      </c>
      <c r="P198" s="46"/>
      <c r="Q198" s="46" t="n">
        <v>2.8</v>
      </c>
      <c r="R198" s="0" t="s">
        <v>168</v>
      </c>
      <c r="T198" s="0" t="s">
        <v>145</v>
      </c>
      <c r="W198" s="0" t="n">
        <v>17</v>
      </c>
      <c r="Y198" s="0" t="s">
        <v>205</v>
      </c>
      <c r="Z198" s="23" t="s">
        <v>196</v>
      </c>
      <c r="AA198" s="0" t="s">
        <v>197</v>
      </c>
    </row>
    <row r="199" customFormat="false" ht="15" hidden="false" customHeight="true" outlineLevel="0" collapsed="false">
      <c r="A199" s="1" t="s">
        <v>194</v>
      </c>
      <c r="B199" s="2" t="s">
        <v>198</v>
      </c>
      <c r="C199" s="2" t="s">
        <v>106</v>
      </c>
      <c r="D199" s="3" t="s">
        <v>61</v>
      </c>
      <c r="E199" s="3" t="s">
        <v>70</v>
      </c>
      <c r="F199" s="3" t="s">
        <v>70</v>
      </c>
      <c r="G199" s="0" t="s">
        <v>195</v>
      </c>
      <c r="H199" s="0" t="n">
        <v>144</v>
      </c>
      <c r="I199" s="44" t="n">
        <v>5</v>
      </c>
      <c r="J199" s="0" t="s">
        <v>204</v>
      </c>
      <c r="K199" s="0" t="n">
        <v>20</v>
      </c>
      <c r="L199" s="0" t="n">
        <v>8</v>
      </c>
      <c r="O199" s="46" t="n">
        <v>4.4</v>
      </c>
      <c r="P199" s="46"/>
      <c r="Q199" s="46" t="n">
        <v>2.5</v>
      </c>
      <c r="R199" s="0" t="s">
        <v>168</v>
      </c>
      <c r="T199" s="0" t="s">
        <v>145</v>
      </c>
      <c r="W199" s="0" t="n">
        <v>5</v>
      </c>
      <c r="Y199" s="0" t="s">
        <v>206</v>
      </c>
      <c r="Z199" s="23" t="s">
        <v>196</v>
      </c>
      <c r="AA199" s="0" t="s">
        <v>197</v>
      </c>
    </row>
    <row r="200" customFormat="false" ht="15" hidden="false" customHeight="true" outlineLevel="0" collapsed="false">
      <c r="A200" s="1" t="s">
        <v>194</v>
      </c>
      <c r="C200" s="2" t="s">
        <v>106</v>
      </c>
      <c r="D200" s="3" t="s">
        <v>61</v>
      </c>
      <c r="E200" s="3" t="s">
        <v>62</v>
      </c>
      <c r="F200" s="3" t="s">
        <v>62</v>
      </c>
      <c r="G200" s="0" t="s">
        <v>195</v>
      </c>
      <c r="H200" s="0" t="n">
        <v>144</v>
      </c>
      <c r="I200" s="44" t="n">
        <v>6</v>
      </c>
      <c r="J200" s="0" t="s">
        <v>204</v>
      </c>
      <c r="K200" s="0" t="n">
        <v>20</v>
      </c>
      <c r="L200" s="0" t="n">
        <v>22</v>
      </c>
      <c r="O200" s="46" t="n">
        <v>7.1</v>
      </c>
      <c r="P200" s="46"/>
      <c r="Q200" s="46" t="n">
        <v>2.8</v>
      </c>
      <c r="R200" s="0" t="s">
        <v>168</v>
      </c>
      <c r="T200" s="0" t="s">
        <v>145</v>
      </c>
      <c r="W200" s="0" t="n">
        <v>30</v>
      </c>
      <c r="Y200" s="0" t="s">
        <v>207</v>
      </c>
      <c r="Z200" s="23" t="s">
        <v>196</v>
      </c>
      <c r="AA200" s="0" t="s">
        <v>197</v>
      </c>
    </row>
    <row r="201" customFormat="false" ht="15" hidden="false" customHeight="true" outlineLevel="0" collapsed="false">
      <c r="A201" s="1" t="s">
        <v>194</v>
      </c>
      <c r="B201" s="2" t="s">
        <v>198</v>
      </c>
      <c r="C201" s="2" t="s">
        <v>106</v>
      </c>
      <c r="D201" s="3" t="s">
        <v>61</v>
      </c>
      <c r="E201" s="3" t="s">
        <v>70</v>
      </c>
      <c r="F201" s="3" t="s">
        <v>70</v>
      </c>
      <c r="G201" s="0" t="s">
        <v>195</v>
      </c>
      <c r="H201" s="0" t="n">
        <v>144</v>
      </c>
      <c r="I201" s="44" t="n">
        <v>6</v>
      </c>
      <c r="J201" s="0" t="s">
        <v>204</v>
      </c>
      <c r="K201" s="0" t="n">
        <v>20</v>
      </c>
      <c r="L201" s="0" t="n">
        <v>22</v>
      </c>
      <c r="O201" s="46" t="n">
        <v>4.4</v>
      </c>
      <c r="P201" s="46"/>
      <c r="Q201" s="46" t="n">
        <v>2.5</v>
      </c>
      <c r="R201" s="0" t="s">
        <v>168</v>
      </c>
      <c r="T201" s="0" t="s">
        <v>145</v>
      </c>
      <c r="W201" s="0" t="n">
        <v>28</v>
      </c>
      <c r="Y201" s="0" t="s">
        <v>208</v>
      </c>
      <c r="Z201" s="23" t="s">
        <v>196</v>
      </c>
      <c r="AA201" s="0" t="s">
        <v>197</v>
      </c>
    </row>
    <row r="202" customFormat="false" ht="15" hidden="false" customHeight="true" outlineLevel="0" collapsed="false">
      <c r="A202" s="1" t="s">
        <v>194</v>
      </c>
      <c r="C202" s="2" t="s">
        <v>106</v>
      </c>
      <c r="D202" s="3" t="s">
        <v>61</v>
      </c>
      <c r="E202" s="3" t="s">
        <v>62</v>
      </c>
      <c r="F202" s="3" t="s">
        <v>62</v>
      </c>
      <c r="G202" s="0" t="s">
        <v>195</v>
      </c>
      <c r="H202" s="0" t="n">
        <v>144</v>
      </c>
      <c r="I202" s="44" t="n">
        <v>7</v>
      </c>
      <c r="J202" s="0" t="s">
        <v>204</v>
      </c>
      <c r="K202" s="0" t="n">
        <v>20</v>
      </c>
      <c r="L202" s="0" t="n">
        <v>19</v>
      </c>
      <c r="O202" s="46" t="n">
        <v>7.1</v>
      </c>
      <c r="P202" s="46"/>
      <c r="Q202" s="46" t="n">
        <v>2.8</v>
      </c>
      <c r="R202" s="0" t="s">
        <v>168</v>
      </c>
      <c r="T202" s="0" t="s">
        <v>145</v>
      </c>
      <c r="W202" s="0" t="n">
        <v>48</v>
      </c>
      <c r="Y202" s="0" t="s">
        <v>209</v>
      </c>
      <c r="Z202" s="23" t="s">
        <v>196</v>
      </c>
      <c r="AA202" s="0" t="s">
        <v>197</v>
      </c>
    </row>
    <row r="203" customFormat="false" ht="15" hidden="false" customHeight="true" outlineLevel="0" collapsed="false">
      <c r="A203" s="1" t="s">
        <v>194</v>
      </c>
      <c r="B203" s="2" t="s">
        <v>198</v>
      </c>
      <c r="C203" s="2" t="s">
        <v>106</v>
      </c>
      <c r="D203" s="3" t="s">
        <v>61</v>
      </c>
      <c r="E203" s="3" t="s">
        <v>70</v>
      </c>
      <c r="F203" s="3" t="s">
        <v>70</v>
      </c>
      <c r="G203" s="0" t="s">
        <v>195</v>
      </c>
      <c r="H203" s="0" t="n">
        <v>144</v>
      </c>
      <c r="I203" s="44" t="n">
        <v>7</v>
      </c>
      <c r="J203" s="0" t="s">
        <v>204</v>
      </c>
      <c r="K203" s="0" t="n">
        <v>20</v>
      </c>
      <c r="L203" s="0" t="n">
        <v>19</v>
      </c>
      <c r="O203" s="46" t="n">
        <v>4.4</v>
      </c>
      <c r="P203" s="46"/>
      <c r="Q203" s="46" t="n">
        <v>2.5</v>
      </c>
      <c r="R203" s="0" t="s">
        <v>168</v>
      </c>
      <c r="T203" s="0" t="s">
        <v>145</v>
      </c>
      <c r="W203" s="0" t="n">
        <v>22</v>
      </c>
      <c r="Y203" s="0" t="s">
        <v>210</v>
      </c>
      <c r="Z203" s="23" t="s">
        <v>196</v>
      </c>
      <c r="AA203" s="0" t="s">
        <v>197</v>
      </c>
    </row>
    <row r="204" customFormat="false" ht="15" hidden="false" customHeight="true" outlineLevel="0" collapsed="false">
      <c r="A204" s="1" t="s">
        <v>194</v>
      </c>
      <c r="C204" s="2" t="s">
        <v>106</v>
      </c>
      <c r="D204" s="3" t="s">
        <v>61</v>
      </c>
      <c r="E204" s="3" t="s">
        <v>62</v>
      </c>
      <c r="F204" s="3" t="s">
        <v>62</v>
      </c>
      <c r="G204" s="0" t="s">
        <v>195</v>
      </c>
      <c r="H204" s="0" t="n">
        <v>144</v>
      </c>
      <c r="I204" s="44" t="n">
        <v>8</v>
      </c>
      <c r="J204" s="0" t="s">
        <v>204</v>
      </c>
      <c r="K204" s="0" t="n">
        <v>20</v>
      </c>
      <c r="L204" s="0" t="n">
        <v>15</v>
      </c>
      <c r="O204" s="46" t="n">
        <v>7.1</v>
      </c>
      <c r="P204" s="46"/>
      <c r="Q204" s="46" t="n">
        <v>2.8</v>
      </c>
      <c r="R204" s="0" t="s">
        <v>168</v>
      </c>
      <c r="T204" s="0" t="s">
        <v>145</v>
      </c>
      <c r="W204" s="0" t="n">
        <v>20</v>
      </c>
      <c r="Y204" s="0" t="s">
        <v>211</v>
      </c>
      <c r="Z204" s="23" t="s">
        <v>196</v>
      </c>
      <c r="AA204" s="0" t="s">
        <v>197</v>
      </c>
    </row>
    <row r="205" customFormat="false" ht="15" hidden="false" customHeight="true" outlineLevel="0" collapsed="false">
      <c r="A205" s="1" t="s">
        <v>194</v>
      </c>
      <c r="B205" s="2" t="s">
        <v>198</v>
      </c>
      <c r="C205" s="2" t="s">
        <v>106</v>
      </c>
      <c r="D205" s="3" t="s">
        <v>61</v>
      </c>
      <c r="E205" s="3" t="s">
        <v>70</v>
      </c>
      <c r="F205" s="3" t="s">
        <v>70</v>
      </c>
      <c r="G205" s="0" t="s">
        <v>195</v>
      </c>
      <c r="H205" s="0" t="n">
        <v>144</v>
      </c>
      <c r="I205" s="44" t="n">
        <v>8</v>
      </c>
      <c r="J205" s="0" t="s">
        <v>204</v>
      </c>
      <c r="K205" s="0" t="n">
        <v>20</v>
      </c>
      <c r="L205" s="0" t="n">
        <v>15</v>
      </c>
      <c r="O205" s="46" t="n">
        <v>4.4</v>
      </c>
      <c r="P205" s="46"/>
      <c r="Q205" s="46" t="n">
        <v>2.5</v>
      </c>
      <c r="R205" s="0" t="s">
        <v>168</v>
      </c>
      <c r="T205" s="0" t="s">
        <v>145</v>
      </c>
      <c r="W205" s="0" t="n">
        <v>12</v>
      </c>
      <c r="Y205" s="0" t="s">
        <v>212</v>
      </c>
      <c r="Z205" s="23" t="s">
        <v>196</v>
      </c>
      <c r="AA205" s="0" t="s">
        <v>197</v>
      </c>
    </row>
    <row r="206" customFormat="false" ht="15" hidden="false" customHeight="true" outlineLevel="0" collapsed="false">
      <c r="A206" s="1" t="s">
        <v>194</v>
      </c>
      <c r="C206" s="2" t="s">
        <v>106</v>
      </c>
      <c r="D206" s="3" t="s">
        <v>61</v>
      </c>
      <c r="E206" s="3" t="s">
        <v>62</v>
      </c>
      <c r="F206" s="3" t="s">
        <v>62</v>
      </c>
      <c r="G206" s="0" t="s">
        <v>195</v>
      </c>
      <c r="H206" s="0" t="n">
        <v>144</v>
      </c>
      <c r="I206" s="44" t="n">
        <v>9</v>
      </c>
      <c r="J206" s="0" t="s">
        <v>213</v>
      </c>
      <c r="K206" s="0" t="n">
        <v>20</v>
      </c>
      <c r="L206" s="0" t="n">
        <v>8</v>
      </c>
      <c r="O206" s="46" t="n">
        <v>7.1</v>
      </c>
      <c r="P206" s="46"/>
      <c r="Q206" s="46" t="n">
        <v>2.8</v>
      </c>
      <c r="R206" s="0" t="s">
        <v>168</v>
      </c>
      <c r="T206" s="0" t="s">
        <v>145</v>
      </c>
      <c r="W206" s="0" t="n">
        <v>16</v>
      </c>
      <c r="Y206" s="0" t="s">
        <v>214</v>
      </c>
      <c r="Z206" s="23" t="s">
        <v>196</v>
      </c>
      <c r="AA206" s="0" t="s">
        <v>197</v>
      </c>
    </row>
    <row r="207" customFormat="false" ht="15" hidden="false" customHeight="true" outlineLevel="0" collapsed="false">
      <c r="A207" s="1" t="s">
        <v>194</v>
      </c>
      <c r="B207" s="2" t="s">
        <v>198</v>
      </c>
      <c r="C207" s="2" t="s">
        <v>106</v>
      </c>
      <c r="D207" s="3" t="s">
        <v>61</v>
      </c>
      <c r="E207" s="3" t="s">
        <v>70</v>
      </c>
      <c r="F207" s="3" t="s">
        <v>70</v>
      </c>
      <c r="G207" s="0" t="s">
        <v>195</v>
      </c>
      <c r="H207" s="0" t="n">
        <v>144</v>
      </c>
      <c r="I207" s="44" t="n">
        <v>9</v>
      </c>
      <c r="J207" s="0" t="s">
        <v>213</v>
      </c>
      <c r="K207" s="0" t="n">
        <v>20</v>
      </c>
      <c r="L207" s="0" t="n">
        <v>8</v>
      </c>
      <c r="O207" s="46" t="n">
        <v>4.4</v>
      </c>
      <c r="P207" s="46"/>
      <c r="Q207" s="46" t="n">
        <v>2.5</v>
      </c>
      <c r="R207" s="0" t="s">
        <v>168</v>
      </c>
      <c r="T207" s="0" t="s">
        <v>145</v>
      </c>
      <c r="W207" s="0" t="n">
        <v>14</v>
      </c>
      <c r="Y207" s="0" t="s">
        <v>215</v>
      </c>
      <c r="Z207" s="23" t="s">
        <v>196</v>
      </c>
      <c r="AA207" s="0" t="s">
        <v>197</v>
      </c>
    </row>
    <row r="208" customFormat="false" ht="15" hidden="false" customHeight="true" outlineLevel="0" collapsed="false">
      <c r="A208" s="1" t="s">
        <v>194</v>
      </c>
      <c r="C208" s="2" t="s">
        <v>106</v>
      </c>
      <c r="D208" s="3" t="s">
        <v>61</v>
      </c>
      <c r="E208" s="3" t="s">
        <v>62</v>
      </c>
      <c r="F208" s="3" t="s">
        <v>62</v>
      </c>
      <c r="G208" s="0" t="s">
        <v>195</v>
      </c>
      <c r="H208" s="0" t="n">
        <v>144</v>
      </c>
      <c r="I208" s="44" t="n">
        <v>10</v>
      </c>
      <c r="J208" s="0" t="s">
        <v>213</v>
      </c>
      <c r="K208" s="0" t="n">
        <v>20</v>
      </c>
      <c r="L208" s="0" t="n">
        <v>22</v>
      </c>
      <c r="O208" s="46" t="n">
        <v>7.1</v>
      </c>
      <c r="P208" s="46"/>
      <c r="Q208" s="46" t="n">
        <v>2.8</v>
      </c>
      <c r="R208" s="0" t="s">
        <v>168</v>
      </c>
      <c r="T208" s="0" t="s">
        <v>145</v>
      </c>
      <c r="W208" s="0" t="n">
        <v>78</v>
      </c>
      <c r="Y208" s="0" t="s">
        <v>216</v>
      </c>
      <c r="Z208" s="23" t="s">
        <v>196</v>
      </c>
      <c r="AA208" s="0" t="s">
        <v>197</v>
      </c>
    </row>
    <row r="209" customFormat="false" ht="15" hidden="false" customHeight="true" outlineLevel="0" collapsed="false">
      <c r="A209" s="1" t="s">
        <v>194</v>
      </c>
      <c r="B209" s="2" t="s">
        <v>198</v>
      </c>
      <c r="C209" s="2" t="s">
        <v>106</v>
      </c>
      <c r="D209" s="3" t="s">
        <v>61</v>
      </c>
      <c r="E209" s="3" t="s">
        <v>70</v>
      </c>
      <c r="F209" s="3" t="s">
        <v>70</v>
      </c>
      <c r="G209" s="0" t="s">
        <v>195</v>
      </c>
      <c r="H209" s="0" t="n">
        <v>144</v>
      </c>
      <c r="I209" s="44" t="n">
        <v>10</v>
      </c>
      <c r="J209" s="0" t="s">
        <v>213</v>
      </c>
      <c r="K209" s="0" t="n">
        <v>20</v>
      </c>
      <c r="L209" s="0" t="n">
        <v>22</v>
      </c>
      <c r="O209" s="46" t="n">
        <v>4.4</v>
      </c>
      <c r="P209" s="46"/>
      <c r="Q209" s="46" t="n">
        <v>2.5</v>
      </c>
      <c r="R209" s="0" t="s">
        <v>168</v>
      </c>
      <c r="T209" s="0" t="s">
        <v>145</v>
      </c>
      <c r="W209" s="0" t="n">
        <v>28</v>
      </c>
      <c r="Y209" s="0" t="s">
        <v>217</v>
      </c>
      <c r="Z209" s="23" t="s">
        <v>196</v>
      </c>
      <c r="AA209" s="0" t="s">
        <v>197</v>
      </c>
    </row>
    <row r="210" customFormat="false" ht="15" hidden="false" customHeight="true" outlineLevel="0" collapsed="false">
      <c r="A210" s="1" t="s">
        <v>194</v>
      </c>
      <c r="C210" s="2" t="s">
        <v>106</v>
      </c>
      <c r="D210" s="3" t="s">
        <v>61</v>
      </c>
      <c r="E210" s="3" t="s">
        <v>62</v>
      </c>
      <c r="F210" s="3" t="s">
        <v>62</v>
      </c>
      <c r="G210" s="0" t="s">
        <v>195</v>
      </c>
      <c r="H210" s="0" t="n">
        <v>144</v>
      </c>
      <c r="I210" s="44" t="n">
        <v>11</v>
      </c>
      <c r="J210" s="0" t="s">
        <v>213</v>
      </c>
      <c r="K210" s="0" t="n">
        <v>20</v>
      </c>
      <c r="L210" s="0" t="n">
        <v>19</v>
      </c>
      <c r="O210" s="46" t="n">
        <v>7.1</v>
      </c>
      <c r="P210" s="46"/>
      <c r="Q210" s="46" t="n">
        <v>2.8</v>
      </c>
      <c r="R210" s="0" t="s">
        <v>168</v>
      </c>
      <c r="T210" s="0" t="s">
        <v>145</v>
      </c>
      <c r="W210" s="0" t="n">
        <v>62</v>
      </c>
      <c r="Y210" s="0" t="s">
        <v>218</v>
      </c>
      <c r="Z210" s="23" t="s">
        <v>196</v>
      </c>
      <c r="AA210" s="0" t="s">
        <v>197</v>
      </c>
    </row>
    <row r="211" customFormat="false" ht="15" hidden="false" customHeight="true" outlineLevel="0" collapsed="false">
      <c r="A211" s="1" t="s">
        <v>194</v>
      </c>
      <c r="B211" s="2" t="s">
        <v>198</v>
      </c>
      <c r="C211" s="2" t="s">
        <v>106</v>
      </c>
      <c r="D211" s="3" t="s">
        <v>61</v>
      </c>
      <c r="E211" s="3" t="s">
        <v>70</v>
      </c>
      <c r="F211" s="3" t="s">
        <v>70</v>
      </c>
      <c r="G211" s="0" t="s">
        <v>195</v>
      </c>
      <c r="H211" s="0" t="n">
        <v>144</v>
      </c>
      <c r="I211" s="44" t="n">
        <v>11</v>
      </c>
      <c r="J211" s="0" t="s">
        <v>213</v>
      </c>
      <c r="K211" s="0" t="n">
        <v>20</v>
      </c>
      <c r="L211" s="0" t="n">
        <v>19</v>
      </c>
      <c r="O211" s="46" t="n">
        <v>4.4</v>
      </c>
      <c r="P211" s="46"/>
      <c r="Q211" s="46" t="n">
        <v>2.5</v>
      </c>
      <c r="R211" s="0" t="s">
        <v>168</v>
      </c>
      <c r="T211" s="0" t="s">
        <v>145</v>
      </c>
      <c r="W211" s="0" t="n">
        <v>32</v>
      </c>
      <c r="Y211" s="0" t="s">
        <v>219</v>
      </c>
      <c r="Z211" s="23" t="s">
        <v>196</v>
      </c>
      <c r="AA211" s="0" t="s">
        <v>197</v>
      </c>
    </row>
    <row r="212" customFormat="false" ht="15" hidden="false" customHeight="true" outlineLevel="0" collapsed="false">
      <c r="A212" s="1" t="s">
        <v>194</v>
      </c>
      <c r="C212" s="2" t="s">
        <v>106</v>
      </c>
      <c r="D212" s="3" t="s">
        <v>61</v>
      </c>
      <c r="E212" s="3" t="s">
        <v>62</v>
      </c>
      <c r="F212" s="3" t="s">
        <v>62</v>
      </c>
      <c r="G212" s="0" t="s">
        <v>195</v>
      </c>
      <c r="H212" s="0" t="n">
        <v>144</v>
      </c>
      <c r="I212" s="44" t="n">
        <v>12</v>
      </c>
      <c r="J212" s="0" t="s">
        <v>213</v>
      </c>
      <c r="K212" s="0" t="n">
        <v>20</v>
      </c>
      <c r="L212" s="0" t="n">
        <v>15</v>
      </c>
      <c r="O212" s="46" t="n">
        <v>7.1</v>
      </c>
      <c r="P212" s="46"/>
      <c r="Q212" s="46" t="n">
        <v>2.8</v>
      </c>
      <c r="R212" s="0" t="s">
        <v>168</v>
      </c>
      <c r="T212" s="0" t="s">
        <v>145</v>
      </c>
      <c r="W212" s="0" t="n">
        <v>38</v>
      </c>
      <c r="Y212" s="0" t="s">
        <v>220</v>
      </c>
      <c r="Z212" s="23" t="s">
        <v>196</v>
      </c>
      <c r="AA212" s="0" t="s">
        <v>197</v>
      </c>
    </row>
    <row r="213" customFormat="false" ht="15" hidden="false" customHeight="true" outlineLevel="0" collapsed="false">
      <c r="A213" s="1" t="s">
        <v>194</v>
      </c>
      <c r="B213" s="2" t="s">
        <v>198</v>
      </c>
      <c r="C213" s="2" t="s">
        <v>221</v>
      </c>
      <c r="D213" s="3" t="s">
        <v>61</v>
      </c>
      <c r="E213" s="3" t="s">
        <v>70</v>
      </c>
      <c r="F213" s="3" t="s">
        <v>70</v>
      </c>
      <c r="G213" s="0" t="s">
        <v>195</v>
      </c>
      <c r="H213" s="0" t="n">
        <v>144</v>
      </c>
      <c r="I213" s="44" t="n">
        <v>12</v>
      </c>
      <c r="J213" s="0" t="s">
        <v>213</v>
      </c>
      <c r="K213" s="0" t="n">
        <v>20</v>
      </c>
      <c r="L213" s="0" t="n">
        <v>15</v>
      </c>
      <c r="O213" s="46" t="n">
        <v>4.4</v>
      </c>
      <c r="P213" s="46"/>
      <c r="Q213" s="46" t="n">
        <v>2.5</v>
      </c>
      <c r="R213" s="0" t="s">
        <v>168</v>
      </c>
      <c r="T213" s="0" t="s">
        <v>145</v>
      </c>
      <c r="W213" s="0" t="n">
        <v>18</v>
      </c>
      <c r="Y213" s="0" t="s">
        <v>222</v>
      </c>
      <c r="Z213" s="23" t="s">
        <v>196</v>
      </c>
      <c r="AA213" s="0" t="s">
        <v>197</v>
      </c>
    </row>
    <row r="214" customFormat="false" ht="15" hidden="false" customHeight="true" outlineLevel="0" collapsed="false">
      <c r="A214" s="1" t="s">
        <v>223</v>
      </c>
      <c r="C214" s="2" t="s">
        <v>60</v>
      </c>
      <c r="D214" s="3" t="s">
        <v>140</v>
      </c>
      <c r="E214" s="3" t="s">
        <v>62</v>
      </c>
      <c r="F214" s="3" t="s">
        <v>62</v>
      </c>
      <c r="G214" s="0" t="s">
        <v>224</v>
      </c>
      <c r="H214" s="0" t="n">
        <v>72</v>
      </c>
      <c r="I214" s="20" t="n">
        <v>1</v>
      </c>
      <c r="J214" s="0" t="s">
        <v>64</v>
      </c>
      <c r="K214" s="0" t="n">
        <v>53</v>
      </c>
      <c r="M214" s="0" t="n">
        <v>6.7</v>
      </c>
      <c r="O214" s="21" t="n">
        <v>3.5</v>
      </c>
      <c r="P214" s="21" t="n">
        <v>7.6</v>
      </c>
      <c r="Q214" s="21" t="n">
        <f aca="false">79.5/53</f>
        <v>1.5</v>
      </c>
      <c r="R214" s="0" t="s">
        <v>79</v>
      </c>
      <c r="S214" s="0" t="n">
        <v>6.9</v>
      </c>
      <c r="T214" s="0" t="s">
        <v>145</v>
      </c>
      <c r="U214" s="0" t="n">
        <v>1.3</v>
      </c>
      <c r="W214" s="0" t="n">
        <v>37.14</v>
      </c>
      <c r="Y214" s="0" t="s">
        <v>225</v>
      </c>
      <c r="Z214" s="23" t="s">
        <v>226</v>
      </c>
      <c r="AA214" s="0" t="s">
        <v>227</v>
      </c>
    </row>
    <row r="215" customFormat="false" ht="15" hidden="false" customHeight="true" outlineLevel="0" collapsed="false">
      <c r="A215" s="1" t="s">
        <v>223</v>
      </c>
      <c r="B215" s="2" t="s">
        <v>110</v>
      </c>
      <c r="C215" s="2" t="s">
        <v>60</v>
      </c>
      <c r="D215" s="3" t="s">
        <v>140</v>
      </c>
      <c r="E215" s="3" t="s">
        <v>70</v>
      </c>
      <c r="F215" s="3" t="s">
        <v>70</v>
      </c>
      <c r="G215" s="0" t="s">
        <v>224</v>
      </c>
      <c r="H215" s="0" t="n">
        <v>72</v>
      </c>
      <c r="I215" s="20" t="n">
        <v>1</v>
      </c>
      <c r="J215" s="0" t="s">
        <v>64</v>
      </c>
      <c r="K215" s="0" t="n">
        <v>53</v>
      </c>
      <c r="M215" s="0" t="n">
        <v>6.7</v>
      </c>
      <c r="O215" s="21" t="n">
        <v>2.4</v>
      </c>
      <c r="P215" s="21" t="n">
        <v>8</v>
      </c>
      <c r="Q215" s="21" t="n">
        <f aca="false">79.5/53</f>
        <v>1.5</v>
      </c>
      <c r="R215" s="0" t="s">
        <v>79</v>
      </c>
      <c r="S215" s="0" t="n">
        <v>6.9</v>
      </c>
      <c r="T215" s="0" t="s">
        <v>145</v>
      </c>
      <c r="U215" s="0" t="n">
        <v>1.3</v>
      </c>
      <c r="W215" s="0" t="n">
        <v>18.71</v>
      </c>
      <c r="Y215" s="0" t="s">
        <v>225</v>
      </c>
      <c r="Z215" s="23" t="s">
        <v>226</v>
      </c>
      <c r="AA215" s="0" t="s">
        <v>227</v>
      </c>
    </row>
    <row r="216" customFormat="false" ht="15" hidden="false" customHeight="true" outlineLevel="0" collapsed="false">
      <c r="A216" s="1" t="s">
        <v>223</v>
      </c>
      <c r="C216" s="2" t="s">
        <v>60</v>
      </c>
      <c r="D216" s="3" t="s">
        <v>140</v>
      </c>
      <c r="E216" s="3" t="s">
        <v>62</v>
      </c>
      <c r="F216" s="3" t="s">
        <v>62</v>
      </c>
      <c r="G216" s="0" t="s">
        <v>224</v>
      </c>
      <c r="H216" s="0" t="n">
        <v>72</v>
      </c>
      <c r="I216" s="20" t="n">
        <v>2</v>
      </c>
      <c r="J216" s="0" t="s">
        <v>64</v>
      </c>
      <c r="K216" s="0" t="n">
        <v>53</v>
      </c>
      <c r="M216" s="0" t="n">
        <v>6.7</v>
      </c>
      <c r="O216" s="21" t="n">
        <v>3.5</v>
      </c>
      <c r="P216" s="21" t="n">
        <v>6.7</v>
      </c>
      <c r="Q216" s="21" t="n">
        <f aca="false">79.5/53</f>
        <v>1.5</v>
      </c>
      <c r="R216" s="0" t="s">
        <v>79</v>
      </c>
      <c r="S216" s="0" t="n">
        <v>6.9</v>
      </c>
      <c r="T216" s="0" t="s">
        <v>145</v>
      </c>
      <c r="U216" s="0" t="n">
        <v>1.3</v>
      </c>
      <c r="W216" s="0" t="n">
        <v>9.21</v>
      </c>
      <c r="Y216" s="0" t="s">
        <v>225</v>
      </c>
      <c r="AA216" s="0" t="s">
        <v>228</v>
      </c>
    </row>
    <row r="217" customFormat="false" ht="15" hidden="false" customHeight="true" outlineLevel="0" collapsed="false">
      <c r="A217" s="1" t="s">
        <v>223</v>
      </c>
      <c r="B217" s="2" t="s">
        <v>110</v>
      </c>
      <c r="C217" s="2" t="s">
        <v>60</v>
      </c>
      <c r="D217" s="3" t="s">
        <v>140</v>
      </c>
      <c r="E217" s="3" t="s">
        <v>70</v>
      </c>
      <c r="F217" s="3" t="s">
        <v>70</v>
      </c>
      <c r="G217" s="0" t="s">
        <v>224</v>
      </c>
      <c r="H217" s="0" t="n">
        <v>72</v>
      </c>
      <c r="I217" s="20" t="n">
        <v>2</v>
      </c>
      <c r="J217" s="0" t="s">
        <v>64</v>
      </c>
      <c r="K217" s="0" t="n">
        <v>53</v>
      </c>
      <c r="M217" s="0" t="n">
        <v>6.7</v>
      </c>
      <c r="O217" s="21" t="n">
        <v>2.4</v>
      </c>
      <c r="P217" s="21" t="n">
        <v>7.9</v>
      </c>
      <c r="Q217" s="21" t="n">
        <f aca="false">79.5/53</f>
        <v>1.5</v>
      </c>
      <c r="R217" s="0" t="s">
        <v>79</v>
      </c>
      <c r="S217" s="0" t="n">
        <v>6.9</v>
      </c>
      <c r="T217" s="0" t="s">
        <v>145</v>
      </c>
      <c r="U217" s="0" t="n">
        <v>1.3</v>
      </c>
      <c r="W217" s="0" t="n">
        <v>4.25</v>
      </c>
      <c r="Y217" s="0" t="s">
        <v>225</v>
      </c>
      <c r="AA217" s="0" t="s">
        <v>228</v>
      </c>
    </row>
    <row r="218" customFormat="false" ht="15" hidden="false" customHeight="true" outlineLevel="0" collapsed="false">
      <c r="I218" s="20"/>
      <c r="O218" s="21"/>
      <c r="P218" s="21"/>
      <c r="Q218" s="21"/>
    </row>
    <row r="219" customFormat="false" ht="15" hidden="false" customHeight="true" outlineLevel="0" collapsed="false">
      <c r="E219" s="47"/>
      <c r="F219" s="47"/>
    </row>
    <row r="220" customFormat="false" ht="15" hidden="false" customHeight="true" outlineLevel="0" collapsed="false"/>
    <row r="223" customFormat="false" ht="15" hidden="false" customHeight="false" outlineLevel="0" collapsed="false">
      <c r="E223" s="47"/>
      <c r="F223" s="47"/>
    </row>
  </sheetData>
  <mergeCells count="5">
    <mergeCell ref="A1:I1"/>
    <mergeCell ref="J1:N1"/>
    <mergeCell ref="O1:Q1"/>
    <mergeCell ref="R1:V1"/>
    <mergeCell ref="W1:Z1"/>
  </mergeCells>
  <printOptions headings="false" gridLines="false" gridLinesSet="true" horizontalCentered="false" verticalCentered="false"/>
  <pageMargins left="0.7" right="0.7" top="0.75" bottom="0.75"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235" activePane="bottomRight" state="frozen"/>
      <selection pane="topLeft" activeCell="A1" activeCellId="0" sqref="A1"/>
      <selection pane="topRight" activeCell="F1" activeCellId="0" sqref="F1"/>
      <selection pane="bottomLeft" activeCell="A235" activeCellId="0" sqref="A235"/>
      <selection pane="bottomRight" activeCell="D249" activeCellId="0" sqref="D249"/>
    </sheetView>
  </sheetViews>
  <sheetFormatPr defaultColWidth="8.6796875" defaultRowHeight="15" customHeight="false" zeroHeight="false" outlineLevelRow="0" outlineLevelCol="0"/>
  <cols>
    <col collapsed="false" customWidth="true" hidden="false" outlineLevel="0" max="1" min="1" style="0" width="31.57"/>
    <col collapsed="false" customWidth="true" hidden="false" outlineLevel="0" max="2" min="2" style="0" width="12.42"/>
    <col collapsed="false" customWidth="true" hidden="false" outlineLevel="0" max="3" min="3" style="0" width="14.29"/>
    <col collapsed="false" customWidth="true" hidden="false" outlineLevel="0" max="4" min="4" style="0" width="10.71"/>
    <col collapsed="false" customWidth="true" hidden="false" outlineLevel="0" max="6" min="6" style="0" width="20.71"/>
    <col collapsed="false" customWidth="true" hidden="false" outlineLevel="0" max="7" min="7" style="0" width="27.29"/>
    <col collapsed="false" customWidth="true" hidden="false" outlineLevel="0" max="8" min="8" style="0" width="20.14"/>
    <col collapsed="false" customWidth="true" hidden="false" outlineLevel="0" max="9" min="9" style="0" width="18.71"/>
    <col collapsed="false" customWidth="true" hidden="false" outlineLevel="0" max="10" min="10" style="0" width="12"/>
    <col collapsed="false" customWidth="true" hidden="false" outlineLevel="0" max="12" min="12" style="0" width="22.42"/>
  </cols>
  <sheetData>
    <row r="1" customFormat="false" ht="15" hidden="false" customHeight="false" outlineLevel="0" collapsed="false">
      <c r="A1" s="7" t="s">
        <v>229</v>
      </c>
      <c r="B1" s="7"/>
      <c r="C1" s="7"/>
      <c r="D1" s="7"/>
      <c r="E1" s="7"/>
      <c r="F1" s="8" t="s">
        <v>230</v>
      </c>
      <c r="G1" s="8"/>
      <c r="H1" s="8"/>
      <c r="I1" s="8"/>
      <c r="J1" s="48" t="s">
        <v>231</v>
      </c>
      <c r="K1" s="48"/>
      <c r="L1" s="48"/>
      <c r="M1" s="13" t="s">
        <v>32</v>
      </c>
    </row>
    <row r="2" customFormat="false" ht="41.75" hidden="false" customHeight="false" outlineLevel="0" collapsed="false">
      <c r="A2" s="14" t="s">
        <v>6</v>
      </c>
      <c r="B2" s="14" t="s">
        <v>7</v>
      </c>
      <c r="C2" s="15" t="s">
        <v>9</v>
      </c>
      <c r="D2" s="15" t="s">
        <v>232</v>
      </c>
      <c r="E2" s="15" t="s">
        <v>14</v>
      </c>
      <c r="F2" s="16" t="s">
        <v>233</v>
      </c>
      <c r="G2" s="16" t="s">
        <v>234</v>
      </c>
      <c r="H2" s="17" t="s">
        <v>235</v>
      </c>
      <c r="I2" s="15" t="s">
        <v>236</v>
      </c>
      <c r="J2" s="19" t="s">
        <v>20</v>
      </c>
      <c r="K2" s="19" t="s">
        <v>21</v>
      </c>
      <c r="L2" s="19" t="s">
        <v>22</v>
      </c>
      <c r="M2" s="13" t="s">
        <v>32</v>
      </c>
    </row>
    <row r="3" customFormat="false" ht="15" hidden="false" customHeight="false" outlineLevel="0" collapsed="false">
      <c r="A3" s="14" t="s">
        <v>33</v>
      </c>
      <c r="B3" s="14" t="s">
        <v>34</v>
      </c>
      <c r="C3" s="15" t="s">
        <v>36</v>
      </c>
      <c r="D3" s="15" t="s">
        <v>237</v>
      </c>
      <c r="E3" s="15" t="s">
        <v>41</v>
      </c>
      <c r="F3" s="16" t="s">
        <v>238</v>
      </c>
      <c r="G3" s="16" t="s">
        <v>239</v>
      </c>
      <c r="H3" s="17" t="s">
        <v>240</v>
      </c>
      <c r="I3" s="15" t="s">
        <v>241</v>
      </c>
      <c r="J3" s="19" t="s">
        <v>47</v>
      </c>
      <c r="K3" s="19" t="s">
        <v>21</v>
      </c>
      <c r="L3" s="19" t="s">
        <v>48</v>
      </c>
      <c r="M3" s="13" t="s">
        <v>32</v>
      </c>
    </row>
    <row r="4" customFormat="false" ht="15" hidden="false" customHeight="false" outlineLevel="0" collapsed="false">
      <c r="A4" s="0" t="s">
        <v>242</v>
      </c>
      <c r="B4" s="0" t="s">
        <v>153</v>
      </c>
      <c r="C4" s="0" t="s">
        <v>140</v>
      </c>
      <c r="D4" s="0" t="s">
        <v>62</v>
      </c>
      <c r="E4" s="0" t="n">
        <v>1</v>
      </c>
      <c r="F4" s="27"/>
      <c r="J4" s="0" t="n">
        <v>5.3</v>
      </c>
      <c r="L4" s="38" t="n">
        <f aca="false">34.2*J4/100</f>
        <v>1.8126</v>
      </c>
      <c r="M4" s="0" t="s">
        <v>243</v>
      </c>
    </row>
    <row r="5" customFormat="false" ht="15" hidden="false" customHeight="false" outlineLevel="0" collapsed="false">
      <c r="A5" s="0" t="s">
        <v>242</v>
      </c>
      <c r="B5" s="0" t="s">
        <v>153</v>
      </c>
      <c r="C5" s="0" t="s">
        <v>140</v>
      </c>
      <c r="D5" s="0" t="s">
        <v>70</v>
      </c>
      <c r="E5" s="0" t="n">
        <v>1</v>
      </c>
      <c r="F5" s="22" t="n">
        <f aca="false">J5*H5/J4</f>
        <v>67.9638364779874</v>
      </c>
      <c r="G5" s="22" t="n">
        <f aca="false">L5*H5/L4</f>
        <v>107.90749475891</v>
      </c>
      <c r="H5" s="22" t="n">
        <f aca="false">(J4-J6)/(J5-J6)*100</f>
        <v>94.7916666666667</v>
      </c>
      <c r="J5" s="0" t="n">
        <v>3.8</v>
      </c>
      <c r="L5" s="38" t="n">
        <f aca="false">54.3*J5/100</f>
        <v>2.0634</v>
      </c>
      <c r="M5" s="0" t="s">
        <v>243</v>
      </c>
    </row>
    <row r="6" customFormat="false" ht="15" hidden="false" customHeight="false" outlineLevel="0" collapsed="false">
      <c r="A6" s="0" t="s">
        <v>242</v>
      </c>
      <c r="B6" s="0" t="s">
        <v>153</v>
      </c>
      <c r="C6" s="0" t="s">
        <v>140</v>
      </c>
      <c r="D6" s="0" t="s">
        <v>71</v>
      </c>
      <c r="E6" s="0" t="n">
        <v>1</v>
      </c>
      <c r="F6" s="22" t="n">
        <f aca="false">J6*H6/J4</f>
        <v>32.0361635220126</v>
      </c>
      <c r="G6" s="49" t="n">
        <f aca="false">L6*H6/L4</f>
        <v>0.281018978263269</v>
      </c>
      <c r="H6" s="22" t="n">
        <f aca="false">100-H5</f>
        <v>5.20833333333334</v>
      </c>
      <c r="J6" s="0" t="n">
        <v>32.6</v>
      </c>
      <c r="L6" s="38" t="n">
        <f aca="false">0.3*J6/100</f>
        <v>0.0978</v>
      </c>
      <c r="M6" s="0" t="s">
        <v>243</v>
      </c>
    </row>
    <row r="7" customFormat="false" ht="15" hidden="false" customHeight="false" outlineLevel="0" collapsed="false">
      <c r="A7" s="0" t="s">
        <v>242</v>
      </c>
      <c r="B7" s="0" t="s">
        <v>153</v>
      </c>
      <c r="C7" s="0" t="s">
        <v>61</v>
      </c>
      <c r="D7" s="0" t="s">
        <v>62</v>
      </c>
      <c r="E7" s="0" t="n">
        <v>2</v>
      </c>
      <c r="F7" s="27"/>
      <c r="G7" s="27"/>
      <c r="J7" s="0" t="n">
        <v>7.9</v>
      </c>
      <c r="L7" s="38" t="n">
        <f aca="false">19.3*J7/100</f>
        <v>1.5247</v>
      </c>
      <c r="M7" s="0" t="s">
        <v>244</v>
      </c>
    </row>
    <row r="8" customFormat="false" ht="15" hidden="false" customHeight="false" outlineLevel="0" collapsed="false">
      <c r="A8" s="0" t="s">
        <v>242</v>
      </c>
      <c r="B8" s="0" t="s">
        <v>153</v>
      </c>
      <c r="C8" s="0" t="s">
        <v>61</v>
      </c>
      <c r="D8" s="0" t="s">
        <v>70</v>
      </c>
      <c r="E8" s="0" t="n">
        <v>2</v>
      </c>
      <c r="F8" s="22" t="n">
        <f aca="false">J8*H8/J7</f>
        <v>52.9061363935001</v>
      </c>
      <c r="G8" s="22" t="n">
        <f aca="false">L8*H8/L7</f>
        <v>83.6081430052721</v>
      </c>
      <c r="H8" s="22" t="n">
        <f aca="false">(J7-J9)/(J8-J9)*100</f>
        <v>88.9273356401384</v>
      </c>
      <c r="J8" s="0" t="n">
        <v>4.7</v>
      </c>
      <c r="L8" s="38" t="n">
        <f aca="false">30.5*J8/100</f>
        <v>1.4335</v>
      </c>
      <c r="M8" s="0" t="s">
        <v>244</v>
      </c>
    </row>
    <row r="9" customFormat="false" ht="15" hidden="false" customHeight="false" outlineLevel="0" collapsed="false">
      <c r="A9" s="0" t="s">
        <v>242</v>
      </c>
      <c r="B9" s="0" t="s">
        <v>153</v>
      </c>
      <c r="C9" s="0" t="s">
        <v>61</v>
      </c>
      <c r="D9" s="0" t="s">
        <v>71</v>
      </c>
      <c r="E9" s="0" t="n">
        <v>2</v>
      </c>
      <c r="F9" s="22" t="n">
        <f aca="false">J9*H9/J7</f>
        <v>47.0938636064999</v>
      </c>
      <c r="G9" s="49" t="n">
        <f aca="false">L9*H9/L7</f>
        <v>0.244009655992228</v>
      </c>
      <c r="H9" s="22" t="n">
        <f aca="false">100-H8</f>
        <v>11.0726643598616</v>
      </c>
      <c r="J9" s="0" t="n">
        <v>33.6</v>
      </c>
      <c r="L9" s="38" t="n">
        <f aca="false">0.1*J9/100</f>
        <v>0.0336</v>
      </c>
      <c r="M9" s="0" t="s">
        <v>244</v>
      </c>
    </row>
    <row r="10" customFormat="false" ht="15" hidden="false" customHeight="false" outlineLevel="0" collapsed="false">
      <c r="A10" s="0" t="s">
        <v>242</v>
      </c>
      <c r="B10" s="0" t="s">
        <v>153</v>
      </c>
      <c r="C10" s="0" t="s">
        <v>140</v>
      </c>
      <c r="D10" s="0" t="s">
        <v>62</v>
      </c>
      <c r="E10" s="0" t="n">
        <v>3</v>
      </c>
      <c r="F10" s="27"/>
      <c r="G10" s="27"/>
      <c r="H10" s="27"/>
      <c r="J10" s="0" t="n">
        <v>8</v>
      </c>
      <c r="L10" s="38" t="n">
        <f aca="false">27.9*J10/100</f>
        <v>2.232</v>
      </c>
      <c r="M10" s="0" t="s">
        <v>245</v>
      </c>
      <c r="V10" s="27"/>
    </row>
    <row r="11" customFormat="false" ht="15" hidden="false" customHeight="false" outlineLevel="0" collapsed="false">
      <c r="A11" s="0" t="s">
        <v>242</v>
      </c>
      <c r="B11" s="0" t="s">
        <v>153</v>
      </c>
      <c r="C11" s="0" t="s">
        <v>140</v>
      </c>
      <c r="D11" s="0" t="s">
        <v>70</v>
      </c>
      <c r="E11" s="0" t="n">
        <v>3</v>
      </c>
      <c r="F11" s="22" t="n">
        <f aca="false">J11*H11/J10</f>
        <v>41.5860215053763</v>
      </c>
      <c r="G11" s="22" t="n">
        <f aca="false">L11*H11/L10</f>
        <v>84.9606890970054</v>
      </c>
      <c r="H11" s="22" t="n">
        <f aca="false">(J10-J12)/(J11-J12)*100</f>
        <v>85.3046594982079</v>
      </c>
      <c r="J11" s="0" t="n">
        <v>3.9</v>
      </c>
      <c r="L11" s="38" t="n">
        <f aca="false">57*J11/100</f>
        <v>2.223</v>
      </c>
      <c r="M11" s="0" t="s">
        <v>245</v>
      </c>
    </row>
    <row r="12" customFormat="false" ht="15" hidden="false" customHeight="false" outlineLevel="0" collapsed="false">
      <c r="A12" s="0" t="s">
        <v>242</v>
      </c>
      <c r="B12" s="0" t="s">
        <v>153</v>
      </c>
      <c r="C12" s="0" t="s">
        <v>140</v>
      </c>
      <c r="D12" s="0" t="s">
        <v>71</v>
      </c>
      <c r="E12" s="0" t="n">
        <v>3</v>
      </c>
      <c r="F12" s="22" t="n">
        <f aca="false">J12*H12/J10</f>
        <v>58.4139784946237</v>
      </c>
      <c r="G12" s="22" t="n">
        <f aca="false">L12*H12/L10</f>
        <v>1.04684549273519</v>
      </c>
      <c r="H12" s="22" t="n">
        <f aca="false">100-H11</f>
        <v>14.6953405017921</v>
      </c>
      <c r="J12" s="0" t="n">
        <v>31.8</v>
      </c>
      <c r="L12" s="38" t="n">
        <f aca="false">0.5*J12/100</f>
        <v>0.159</v>
      </c>
      <c r="M12" s="0" t="s">
        <v>245</v>
      </c>
    </row>
    <row r="13" customFormat="false" ht="15" hidden="false" customHeight="false" outlineLevel="0" collapsed="false">
      <c r="A13" s="0" t="s">
        <v>242</v>
      </c>
      <c r="B13" s="0" t="s">
        <v>153</v>
      </c>
      <c r="C13" s="0" t="s">
        <v>140</v>
      </c>
      <c r="D13" s="0" t="s">
        <v>62</v>
      </c>
      <c r="E13" s="0" t="n">
        <v>4</v>
      </c>
      <c r="F13" s="27"/>
      <c r="G13" s="27"/>
      <c r="H13" s="27"/>
      <c r="J13" s="0" t="n">
        <v>5</v>
      </c>
      <c r="L13" s="38" t="n">
        <f aca="false">37.2*J13/100</f>
        <v>1.86</v>
      </c>
      <c r="M13" s="0" t="s">
        <v>246</v>
      </c>
    </row>
    <row r="14" customFormat="false" ht="15" hidden="false" customHeight="false" outlineLevel="0" collapsed="false">
      <c r="A14" s="0" t="s">
        <v>242</v>
      </c>
      <c r="B14" s="0" t="s">
        <v>153</v>
      </c>
      <c r="C14" s="0" t="s">
        <v>140</v>
      </c>
      <c r="D14" s="0" t="s">
        <v>70</v>
      </c>
      <c r="E14" s="0" t="n">
        <v>4</v>
      </c>
      <c r="F14" s="22" t="n">
        <f aca="false">J14*H14/J13</f>
        <v>58.88</v>
      </c>
      <c r="G14" s="22" t="n">
        <f aca="false">L14*H14/L13</f>
        <v>8.95862365591398</v>
      </c>
      <c r="H14" s="22" t="n">
        <f aca="false">(J13-J15)/(J14-J15)*100</f>
        <v>92</v>
      </c>
      <c r="J14" s="0" t="n">
        <v>3.2</v>
      </c>
      <c r="L14" s="38" t="n">
        <f aca="false">56.6*J14/1000</f>
        <v>0.18112</v>
      </c>
      <c r="M14" s="0" t="s">
        <v>246</v>
      </c>
    </row>
    <row r="15" customFormat="false" ht="15" hidden="false" customHeight="false" outlineLevel="0" collapsed="false">
      <c r="A15" s="0" t="s">
        <v>242</v>
      </c>
      <c r="B15" s="0" t="s">
        <v>153</v>
      </c>
      <c r="C15" s="0" t="s">
        <v>140</v>
      </c>
      <c r="D15" s="0" t="s">
        <v>71</v>
      </c>
      <c r="E15" s="0" t="n">
        <v>4</v>
      </c>
      <c r="F15" s="22" t="n">
        <f aca="false">J15*H15/J13</f>
        <v>41.12</v>
      </c>
      <c r="G15" s="49" t="n">
        <f aca="false">L15*H15/L13</f>
        <v>0.331612903225806</v>
      </c>
      <c r="H15" s="22" t="n">
        <f aca="false">100-H14</f>
        <v>8</v>
      </c>
      <c r="J15" s="0" t="n">
        <v>25.7</v>
      </c>
      <c r="L15" s="38" t="n">
        <f aca="false">0.3*J15/100</f>
        <v>0.0771</v>
      </c>
      <c r="M15" s="0" t="s">
        <v>246</v>
      </c>
    </row>
    <row r="16" customFormat="false" ht="15" hidden="false" customHeight="false" outlineLevel="0" collapsed="false">
      <c r="A16" s="0" t="s">
        <v>242</v>
      </c>
      <c r="B16" s="0" t="s">
        <v>153</v>
      </c>
      <c r="C16" s="0" t="s">
        <v>140</v>
      </c>
      <c r="D16" s="0" t="s">
        <v>62</v>
      </c>
      <c r="E16" s="0" t="n">
        <v>5</v>
      </c>
      <c r="F16" s="27"/>
      <c r="G16" s="27"/>
      <c r="H16" s="27"/>
      <c r="J16" s="0" t="n">
        <v>4.9</v>
      </c>
      <c r="L16" s="38" t="n">
        <f aca="false">49.5*J16/100</f>
        <v>2.4255</v>
      </c>
      <c r="M16" s="0" t="s">
        <v>247</v>
      </c>
    </row>
    <row r="17" customFormat="false" ht="15" hidden="false" customHeight="false" outlineLevel="0" collapsed="false">
      <c r="A17" s="0" t="s">
        <v>242</v>
      </c>
      <c r="B17" s="0" t="s">
        <v>153</v>
      </c>
      <c r="C17" s="0" t="s">
        <v>140</v>
      </c>
      <c r="D17" s="0" t="s">
        <v>70</v>
      </c>
      <c r="E17" s="0" t="n">
        <v>5</v>
      </c>
      <c r="F17" s="22" t="n">
        <f aca="false">J17*H17/J16</f>
        <v>63.2025117739403</v>
      </c>
      <c r="G17" s="22" t="n">
        <f aca="false">L17*H17/L16</f>
        <v>108.274201988488</v>
      </c>
      <c r="H17" s="22" t="n">
        <f aca="false">(J16-J18)/(J17-J18)*100</f>
        <v>93.8461538461538</v>
      </c>
      <c r="J17" s="0" t="n">
        <v>3.3</v>
      </c>
      <c r="L17" s="38" t="n">
        <f aca="false">84.8*J17/100</f>
        <v>2.7984</v>
      </c>
      <c r="M17" s="0" t="s">
        <v>247</v>
      </c>
    </row>
    <row r="18" customFormat="false" ht="15" hidden="false" customHeight="false" outlineLevel="0" collapsed="false">
      <c r="A18" s="0" t="s">
        <v>242</v>
      </c>
      <c r="B18" s="0" t="s">
        <v>153</v>
      </c>
      <c r="C18" s="0" t="s">
        <v>140</v>
      </c>
      <c r="D18" s="0" t="s">
        <v>71</v>
      </c>
      <c r="E18" s="0" t="n">
        <v>5</v>
      </c>
      <c r="F18" s="22" t="n">
        <f aca="false">J18*H18/J16</f>
        <v>36.7974882260597</v>
      </c>
      <c r="G18" s="49" t="n">
        <f aca="false">L18*H18/L16</f>
        <v>0.446030160315875</v>
      </c>
      <c r="H18" s="22" t="n">
        <f aca="false">100-H17</f>
        <v>6.15384615384616</v>
      </c>
      <c r="J18" s="0" t="n">
        <v>29.3</v>
      </c>
      <c r="L18" s="38" t="n">
        <f aca="false">0.6*J18/100</f>
        <v>0.1758</v>
      </c>
      <c r="M18" s="0" t="s">
        <v>247</v>
      </c>
    </row>
    <row r="19" customFormat="false" ht="15" hidden="false" customHeight="false" outlineLevel="0" collapsed="false">
      <c r="A19" s="0" t="s">
        <v>242</v>
      </c>
      <c r="B19" s="0" t="s">
        <v>153</v>
      </c>
      <c r="C19" s="0" t="s">
        <v>140</v>
      </c>
      <c r="D19" s="0" t="s">
        <v>62</v>
      </c>
      <c r="E19" s="0" t="n">
        <v>6</v>
      </c>
      <c r="F19" s="27"/>
      <c r="G19" s="27"/>
      <c r="H19" s="27"/>
      <c r="J19" s="0" t="n">
        <v>4.9</v>
      </c>
      <c r="L19" s="38" t="n">
        <f aca="false">31.4*J19/100</f>
        <v>1.5386</v>
      </c>
      <c r="M19" s="0" t="s">
        <v>248</v>
      </c>
    </row>
    <row r="20" customFormat="false" ht="15" hidden="false" customHeight="false" outlineLevel="0" collapsed="false">
      <c r="A20" s="0" t="s">
        <v>242</v>
      </c>
      <c r="B20" s="0" t="s">
        <v>153</v>
      </c>
      <c r="C20" s="0" t="s">
        <v>140</v>
      </c>
      <c r="D20" s="0" t="s">
        <v>70</v>
      </c>
      <c r="E20" s="0" t="n">
        <v>6</v>
      </c>
      <c r="F20" s="22" t="n">
        <f aca="false">J20*H20/J19</f>
        <v>63.4985422740525</v>
      </c>
      <c r="G20" s="22" t="n">
        <f aca="false">L20*H20/L19</f>
        <v>85.9454791925869</v>
      </c>
      <c r="H20" s="22" t="n">
        <f aca="false">(J19-J21)/(J20-J21)*100</f>
        <v>94.2857142857143</v>
      </c>
      <c r="J20" s="0" t="n">
        <v>3.3</v>
      </c>
      <c r="L20" s="38" t="n">
        <f aca="false">42.5*J20/100</f>
        <v>1.4025</v>
      </c>
      <c r="M20" s="0" t="s">
        <v>248</v>
      </c>
    </row>
    <row r="21" customFormat="false" ht="15" hidden="false" customHeight="false" outlineLevel="0" collapsed="false">
      <c r="A21" s="0" t="s">
        <v>242</v>
      </c>
      <c r="B21" s="0" t="s">
        <v>153</v>
      </c>
      <c r="C21" s="0" t="s">
        <v>140</v>
      </c>
      <c r="D21" s="0" t="s">
        <v>71</v>
      </c>
      <c r="E21" s="0" t="n">
        <v>6</v>
      </c>
      <c r="F21" s="22" t="n">
        <f aca="false">J21*H21/J19</f>
        <v>36.5014577259476</v>
      </c>
      <c r="G21" s="49" t="n">
        <f aca="false">L21*H21/L19</f>
        <v>0.232493361311768</v>
      </c>
      <c r="H21" s="22" t="n">
        <f aca="false">100-H20</f>
        <v>5.71428571428572</v>
      </c>
      <c r="J21" s="0" t="n">
        <v>31.3</v>
      </c>
      <c r="L21" s="38" t="n">
        <f aca="false">0.2*J21/100</f>
        <v>0.0626</v>
      </c>
      <c r="M21" s="0" t="s">
        <v>248</v>
      </c>
    </row>
    <row r="22" customFormat="false" ht="15" hidden="false" customHeight="false" outlineLevel="0" collapsed="false">
      <c r="A22" s="0" t="s">
        <v>242</v>
      </c>
      <c r="B22" s="0" t="s">
        <v>153</v>
      </c>
      <c r="C22" s="0" t="s">
        <v>140</v>
      </c>
      <c r="D22" s="0" t="s">
        <v>62</v>
      </c>
      <c r="E22" s="0" t="n">
        <v>7</v>
      </c>
      <c r="F22" s="27"/>
      <c r="G22" s="27"/>
      <c r="H22" s="27"/>
      <c r="J22" s="0" t="n">
        <v>5.9</v>
      </c>
      <c r="L22" s="38" t="n">
        <f aca="false">40.2*J22/100</f>
        <v>2.3718</v>
      </c>
      <c r="M22" s="0" t="s">
        <v>249</v>
      </c>
    </row>
    <row r="23" customFormat="false" ht="15" hidden="false" customHeight="false" outlineLevel="0" collapsed="false">
      <c r="A23" s="0" t="s">
        <v>242</v>
      </c>
      <c r="B23" s="0" t="s">
        <v>153</v>
      </c>
      <c r="C23" s="0" t="s">
        <v>140</v>
      </c>
      <c r="D23" s="0" t="s">
        <v>70</v>
      </c>
      <c r="E23" s="0" t="n">
        <v>7</v>
      </c>
      <c r="F23" s="22" t="n">
        <f aca="false">J23*H23/J22</f>
        <v>60.499856363114</v>
      </c>
      <c r="G23" s="22" t="n">
        <f aca="false">L23*H23/L22</f>
        <v>90.7497845446711</v>
      </c>
      <c r="H23" s="22" t="n">
        <f aca="false">(J22-J24)/(J23-J24)*100</f>
        <v>91.5254237288136</v>
      </c>
      <c r="J23" s="0" t="n">
        <v>3.9</v>
      </c>
      <c r="L23" s="38" t="n">
        <f aca="false">60.3*J23/100</f>
        <v>2.3517</v>
      </c>
      <c r="M23" s="0" t="s">
        <v>249</v>
      </c>
    </row>
    <row r="24" customFormat="false" ht="15" hidden="false" customHeight="false" outlineLevel="0" collapsed="false">
      <c r="A24" s="0" t="s">
        <v>242</v>
      </c>
      <c r="B24" s="0" t="s">
        <v>153</v>
      </c>
      <c r="C24" s="0" t="s">
        <v>140</v>
      </c>
      <c r="D24" s="0" t="s">
        <v>71</v>
      </c>
      <c r="E24" s="0" t="n">
        <v>7</v>
      </c>
      <c r="F24" s="22" t="n">
        <f aca="false">J24*H24/J22</f>
        <v>39.5001436368859</v>
      </c>
      <c r="G24" s="49" t="n">
        <f aca="false">L24*H24/L22</f>
        <v>0.294777191320044</v>
      </c>
      <c r="H24" s="22" t="n">
        <f aca="false">100-H23</f>
        <v>8.47457627118644</v>
      </c>
      <c r="J24" s="0" t="n">
        <v>27.5</v>
      </c>
      <c r="L24" s="38" t="n">
        <f aca="false">0.3*J24/100</f>
        <v>0.0825</v>
      </c>
      <c r="M24" s="0" t="s">
        <v>249</v>
      </c>
    </row>
    <row r="25" customFormat="false" ht="15" hidden="false" customHeight="false" outlineLevel="0" collapsed="false">
      <c r="A25" s="0" t="s">
        <v>242</v>
      </c>
      <c r="B25" s="0" t="s">
        <v>120</v>
      </c>
      <c r="C25" s="0" t="s">
        <v>140</v>
      </c>
      <c r="D25" s="0" t="s">
        <v>62</v>
      </c>
      <c r="E25" s="0" t="n">
        <v>8</v>
      </c>
      <c r="F25" s="27"/>
      <c r="G25" s="27"/>
      <c r="H25" s="27"/>
      <c r="J25" s="0" t="n">
        <v>4.6</v>
      </c>
      <c r="L25" s="38" t="n">
        <f aca="false">48.2*J25/100</f>
        <v>2.2172</v>
      </c>
      <c r="M25" s="0" t="s">
        <v>250</v>
      </c>
    </row>
    <row r="26" customFormat="false" ht="15" hidden="false" customHeight="false" outlineLevel="0" collapsed="false">
      <c r="A26" s="0" t="s">
        <v>242</v>
      </c>
      <c r="B26" s="0" t="s">
        <v>120</v>
      </c>
      <c r="C26" s="0" t="s">
        <v>140</v>
      </c>
      <c r="D26" s="0" t="s">
        <v>70</v>
      </c>
      <c r="E26" s="0" t="n">
        <v>8</v>
      </c>
      <c r="F26" s="22" t="n">
        <f aca="false">J26*H26/J25</f>
        <v>56.4516129032258</v>
      </c>
      <c r="G26" s="22" t="n">
        <f aca="false">L26*H26/L25</f>
        <v>82.1007897202516</v>
      </c>
      <c r="H26" s="22" t="n">
        <f aca="false">(J25-J27)/(J26-J27)*100</f>
        <v>92.741935483871</v>
      </c>
      <c r="J26" s="0" t="n">
        <v>2.8</v>
      </c>
      <c r="L26" s="38" t="n">
        <f aca="false">70.1*J26/100</f>
        <v>1.9628</v>
      </c>
      <c r="M26" s="0" t="s">
        <v>250</v>
      </c>
    </row>
    <row r="27" customFormat="false" ht="15" hidden="false" customHeight="false" outlineLevel="0" collapsed="false">
      <c r="A27" s="0" t="s">
        <v>242</v>
      </c>
      <c r="B27" s="0" t="s">
        <v>120</v>
      </c>
      <c r="C27" s="0" t="s">
        <v>140</v>
      </c>
      <c r="D27" s="0" t="s">
        <v>71</v>
      </c>
      <c r="E27" s="0" t="n">
        <v>8</v>
      </c>
      <c r="F27" s="22" t="n">
        <f aca="false">J27*H27/J25</f>
        <v>43.5483870967742</v>
      </c>
      <c r="G27" s="22" t="n">
        <f aca="false">L27*H27/L25</f>
        <v>0.542096104939098</v>
      </c>
      <c r="H27" s="22" t="n">
        <f aca="false">(J25-J26)/(J27-J26)*100</f>
        <v>7.25806451612903</v>
      </c>
      <c r="J27" s="0" t="n">
        <v>27.6</v>
      </c>
      <c r="L27" s="38" t="n">
        <f aca="false">0.6*J27/100</f>
        <v>0.1656</v>
      </c>
      <c r="M27" s="0" t="s">
        <v>250</v>
      </c>
    </row>
    <row r="28" customFormat="false" ht="15" hidden="false" customHeight="false" outlineLevel="0" collapsed="false">
      <c r="A28" s="0" t="s">
        <v>242</v>
      </c>
      <c r="B28" s="0" t="s">
        <v>153</v>
      </c>
      <c r="C28" s="0" t="s">
        <v>61</v>
      </c>
      <c r="D28" s="0" t="s">
        <v>62</v>
      </c>
      <c r="E28" s="0" t="n">
        <v>9</v>
      </c>
      <c r="F28" s="27"/>
      <c r="G28" s="27"/>
      <c r="H28" s="27"/>
      <c r="J28" s="0" t="n">
        <v>9.7</v>
      </c>
      <c r="L28" s="38" t="n">
        <f aca="false">19.5*J28/100</f>
        <v>1.8915</v>
      </c>
      <c r="M28" s="0" t="s">
        <v>251</v>
      </c>
    </row>
    <row r="29" customFormat="false" ht="15" hidden="false" customHeight="false" outlineLevel="0" collapsed="false">
      <c r="A29" s="0" t="s">
        <v>242</v>
      </c>
      <c r="B29" s="0" t="s">
        <v>153</v>
      </c>
      <c r="C29" s="0" t="s">
        <v>61</v>
      </c>
      <c r="D29" s="0" t="s">
        <v>70</v>
      </c>
      <c r="E29" s="0" t="n">
        <v>9</v>
      </c>
      <c r="F29" s="22" t="n">
        <f aca="false">J29*H29/J28</f>
        <v>52.343466947729</v>
      </c>
      <c r="G29" s="22" t="n">
        <f aca="false">L29*H29/L28</f>
        <v>71.1334294417856</v>
      </c>
      <c r="H29" s="22" t="n">
        <f aca="false">(J28-J30)/(J29-J30)*100</f>
        <v>87.5399361022364</v>
      </c>
      <c r="J29" s="0" t="n">
        <v>5.8</v>
      </c>
      <c r="L29" s="38" t="n">
        <f aca="false">26.5*J29/100</f>
        <v>1.537</v>
      </c>
      <c r="M29" s="0" t="s">
        <v>251</v>
      </c>
    </row>
    <row r="30" customFormat="false" ht="15" hidden="false" customHeight="false" outlineLevel="0" collapsed="false">
      <c r="A30" s="0" t="s">
        <v>242</v>
      </c>
      <c r="B30" s="0" t="s">
        <v>153</v>
      </c>
      <c r="C30" s="0" t="s">
        <v>61</v>
      </c>
      <c r="D30" s="0" t="s">
        <v>71</v>
      </c>
      <c r="E30" s="0" t="n">
        <v>9</v>
      </c>
      <c r="F30" s="22" t="n">
        <f aca="false">J30*H30/J28</f>
        <v>47.656533052271</v>
      </c>
      <c r="G30" s="49" t="n">
        <f aca="false">L30*H30/L28</f>
        <v>0.171074734033793</v>
      </c>
      <c r="H30" s="22" t="n">
        <f aca="false">(J28-J29)/(J30-J29)*100</f>
        <v>12.4600638977636</v>
      </c>
      <c r="J30" s="0" t="n">
        <v>37.1</v>
      </c>
      <c r="L30" s="38" t="n">
        <f aca="false">0.07*J30/100</f>
        <v>0.02597</v>
      </c>
      <c r="M30" s="0" t="s">
        <v>251</v>
      </c>
    </row>
    <row r="31" customFormat="false" ht="15" hidden="false" customHeight="false" outlineLevel="0" collapsed="false">
      <c r="A31" s="0" t="s">
        <v>59</v>
      </c>
      <c r="B31" s="0" t="s">
        <v>153</v>
      </c>
      <c r="C31" s="0" t="s">
        <v>61</v>
      </c>
      <c r="D31" s="0" t="s">
        <v>62</v>
      </c>
      <c r="E31" s="0" t="n">
        <v>1</v>
      </c>
      <c r="F31" s="50"/>
      <c r="G31" s="50"/>
      <c r="H31" s="50"/>
      <c r="I31" s="37"/>
      <c r="J31" s="21" t="n">
        <v>9.24</v>
      </c>
      <c r="K31" s="21"/>
      <c r="L31" s="21" t="n">
        <v>1.57</v>
      </c>
    </row>
    <row r="32" customFormat="false" ht="15" hidden="false" customHeight="false" outlineLevel="0" collapsed="false">
      <c r="A32" s="0" t="s">
        <v>59</v>
      </c>
      <c r="B32" s="0" t="s">
        <v>153</v>
      </c>
      <c r="C32" s="0" t="s">
        <v>61</v>
      </c>
      <c r="D32" s="0" t="s">
        <v>70</v>
      </c>
      <c r="E32" s="0" t="n">
        <v>1</v>
      </c>
      <c r="F32" s="25" t="n">
        <f aca="false">J32*H32/J31</f>
        <v>50.4970980922885</v>
      </c>
      <c r="G32" s="51" t="n">
        <f aca="false">L32*H32/L31</f>
        <v>73.6760144492807</v>
      </c>
      <c r="H32" s="25" t="n">
        <f aca="false">(J31-J33)/(J32-J33)*100</f>
        <v>78.1563126252505</v>
      </c>
      <c r="I32" s="37"/>
      <c r="J32" s="21" t="n">
        <v>5.97</v>
      </c>
      <c r="K32" s="21"/>
      <c r="L32" s="21" t="n">
        <v>1.48</v>
      </c>
    </row>
    <row r="33" customFormat="false" ht="15" hidden="false" customHeight="false" outlineLevel="0" collapsed="false">
      <c r="A33" s="0" t="s">
        <v>59</v>
      </c>
      <c r="B33" s="0" t="s">
        <v>153</v>
      </c>
      <c r="C33" s="0" t="s">
        <v>61</v>
      </c>
      <c r="D33" s="0" t="s">
        <v>71</v>
      </c>
      <c r="E33" s="0" t="n">
        <v>1</v>
      </c>
      <c r="F33" s="25" t="n">
        <f aca="false">J33*H33/J31</f>
        <v>49.5029019077115</v>
      </c>
      <c r="G33" s="25" t="n">
        <f aca="false">L33*H33/L31</f>
        <v>12.9392543047879</v>
      </c>
      <c r="H33" s="25" t="n">
        <f aca="false">100-H32</f>
        <v>21.8436873747495</v>
      </c>
      <c r="I33" s="37"/>
      <c r="J33" s="21" t="n">
        <v>20.94</v>
      </c>
      <c r="K33" s="21"/>
      <c r="L33" s="21" t="n">
        <v>0.93</v>
      </c>
      <c r="M33" s="21"/>
      <c r="N33" s="21"/>
    </row>
    <row r="34" customFormat="false" ht="15" hidden="false" customHeight="false" outlineLevel="0" collapsed="false">
      <c r="A34" s="0" t="s">
        <v>252</v>
      </c>
      <c r="B34" s="0" t="s">
        <v>153</v>
      </c>
      <c r="C34" s="0" t="s">
        <v>61</v>
      </c>
      <c r="D34" s="0" t="s">
        <v>62</v>
      </c>
      <c r="E34" s="0" t="n">
        <v>1</v>
      </c>
      <c r="F34" s="50"/>
      <c r="G34" s="50"/>
      <c r="H34" s="50"/>
      <c r="I34" s="37"/>
      <c r="J34" s="21" t="n">
        <f aca="false">'emission data'!O7</f>
        <v>9</v>
      </c>
      <c r="K34" s="21" t="n">
        <f aca="false">'emission data'!P7</f>
        <v>6.8</v>
      </c>
      <c r="L34" s="21" t="n">
        <f aca="false">'emission data'!Q7</f>
        <v>1.9</v>
      </c>
    </row>
    <row r="35" customFormat="false" ht="15" hidden="false" customHeight="false" outlineLevel="0" collapsed="false">
      <c r="A35" s="0" t="s">
        <v>252</v>
      </c>
      <c r="B35" s="0" t="s">
        <v>153</v>
      </c>
      <c r="C35" s="0" t="s">
        <v>61</v>
      </c>
      <c r="D35" s="0" t="s">
        <v>70</v>
      </c>
      <c r="E35" s="0" t="n">
        <v>1</v>
      </c>
      <c r="F35" s="51" t="n">
        <f aca="false">J35*H35/J34</f>
        <v>43.7134502923977</v>
      </c>
      <c r="G35" s="51" t="n">
        <f aca="false">L35*H35/L34</f>
        <v>90.0277008310249</v>
      </c>
      <c r="H35" s="51" t="n">
        <f aca="false">(J34-35)/(J35-35)*100</f>
        <v>85.5263157894737</v>
      </c>
      <c r="I35" s="37"/>
      <c r="J35" s="21" t="n">
        <f aca="false">'emission data'!O8</f>
        <v>4.6</v>
      </c>
      <c r="K35" s="21" t="n">
        <f aca="false">'emission data'!P8</f>
        <v>7.1</v>
      </c>
      <c r="L35" s="21" t="n">
        <f aca="false">'emission data'!Q8</f>
        <v>2</v>
      </c>
    </row>
    <row r="36" customFormat="false" ht="15" hidden="false" customHeight="false" outlineLevel="0" collapsed="false">
      <c r="A36" s="0" t="s">
        <v>253</v>
      </c>
      <c r="B36" s="0" t="s">
        <v>153</v>
      </c>
      <c r="C36" s="0" t="s">
        <v>140</v>
      </c>
      <c r="D36" s="0" t="s">
        <v>62</v>
      </c>
      <c r="E36" s="0" t="n">
        <v>1</v>
      </c>
      <c r="I36" s="37"/>
      <c r="J36" s="0" t="n">
        <f aca="false">(6.97+6.64)/2</f>
        <v>6.805</v>
      </c>
      <c r="K36" s="0" t="n">
        <f aca="false">(7.5+7.9)/2</f>
        <v>7.7</v>
      </c>
      <c r="L36" s="0" t="n">
        <f aca="false">(51+50)/2</f>
        <v>50.5</v>
      </c>
      <c r="M36" s="21"/>
      <c r="N36" s="21"/>
    </row>
    <row r="37" customFormat="false" ht="15" hidden="false" customHeight="false" outlineLevel="0" collapsed="false">
      <c r="A37" s="0" t="s">
        <v>253</v>
      </c>
      <c r="B37" s="0" t="s">
        <v>153</v>
      </c>
      <c r="C37" s="0" t="s">
        <v>140</v>
      </c>
      <c r="D37" s="0" t="s">
        <v>70</v>
      </c>
      <c r="E37" s="0" t="n">
        <v>1</v>
      </c>
      <c r="F37" s="0" t="n">
        <v>65</v>
      </c>
      <c r="G37" s="0" t="n">
        <v>85</v>
      </c>
      <c r="H37" s="0" t="n">
        <v>92</v>
      </c>
      <c r="I37" s="3" t="s">
        <v>254</v>
      </c>
      <c r="J37" s="0" t="n">
        <f aca="false">(4.89+4.8)/2</f>
        <v>4.845</v>
      </c>
      <c r="K37" s="0" t="n">
        <f aca="false">(8+7.8)/2</f>
        <v>7.9</v>
      </c>
      <c r="L37" s="0" t="n">
        <f aca="false">(53+53)/2</f>
        <v>53</v>
      </c>
      <c r="M37" s="21"/>
      <c r="N37" s="21"/>
    </row>
    <row r="38" customFormat="false" ht="15" hidden="false" customHeight="false" outlineLevel="0" collapsed="false">
      <c r="A38" s="0" t="s">
        <v>253</v>
      </c>
      <c r="B38" s="0" t="s">
        <v>153</v>
      </c>
      <c r="C38" s="0" t="s">
        <v>140</v>
      </c>
      <c r="D38" s="0" t="s">
        <v>71</v>
      </c>
      <c r="E38" s="0" t="n">
        <v>1</v>
      </c>
      <c r="F38" s="0" t="n">
        <v>40</v>
      </c>
      <c r="G38" s="0" t="n">
        <v>10</v>
      </c>
      <c r="H38" s="0" t="n">
        <v>8</v>
      </c>
      <c r="I38" s="3" t="s">
        <v>254</v>
      </c>
      <c r="J38" s="0" t="n">
        <f aca="false">(34.6+32.7)/2</f>
        <v>33.65</v>
      </c>
      <c r="K38" s="0" t="n">
        <f aca="false">(9+8.9)/2</f>
        <v>8.95</v>
      </c>
      <c r="L38" s="0" t="n">
        <f aca="false">(29+41)/2</f>
        <v>35</v>
      </c>
      <c r="M38" s="21"/>
      <c r="N38" s="21"/>
    </row>
    <row r="39" customFormat="false" ht="15" hidden="false" customHeight="false" outlineLevel="0" collapsed="false">
      <c r="A39" s="0" t="s">
        <v>255</v>
      </c>
      <c r="B39" s="0" t="s">
        <v>153</v>
      </c>
      <c r="C39" s="0" t="s">
        <v>140</v>
      </c>
      <c r="D39" s="0" t="s">
        <v>62</v>
      </c>
      <c r="E39" s="0" t="n">
        <v>1</v>
      </c>
      <c r="I39" s="3"/>
      <c r="M39" s="21"/>
      <c r="N39" s="21"/>
    </row>
    <row r="40" customFormat="false" ht="15" hidden="false" customHeight="false" outlineLevel="0" collapsed="false">
      <c r="A40" s="0" t="s">
        <v>255</v>
      </c>
      <c r="B40" s="0" t="s">
        <v>153</v>
      </c>
      <c r="C40" s="0" t="s">
        <v>140</v>
      </c>
      <c r="D40" s="0" t="s">
        <v>70</v>
      </c>
      <c r="E40" s="0" t="n">
        <v>1</v>
      </c>
      <c r="F40" s="0" t="n">
        <v>38.2</v>
      </c>
      <c r="H40" s="0" t="n">
        <v>79.2</v>
      </c>
      <c r="I40" s="3"/>
      <c r="M40" s="3" t="s">
        <v>256</v>
      </c>
      <c r="N40" s="21"/>
    </row>
    <row r="41" customFormat="false" ht="15" hidden="false" customHeight="false" outlineLevel="0" collapsed="false">
      <c r="A41" s="0" t="s">
        <v>255</v>
      </c>
      <c r="B41" s="0" t="s">
        <v>153</v>
      </c>
      <c r="C41" s="0" t="s">
        <v>140</v>
      </c>
      <c r="D41" s="0" t="s">
        <v>71</v>
      </c>
      <c r="E41" s="0" t="n">
        <v>1</v>
      </c>
      <c r="F41" s="0" t="n">
        <v>61.8</v>
      </c>
      <c r="H41" s="0" t="n">
        <v>20.8</v>
      </c>
      <c r="I41" s="3"/>
      <c r="M41" s="3" t="s">
        <v>256</v>
      </c>
      <c r="N41" s="21"/>
    </row>
    <row r="42" customFormat="false" ht="15" hidden="false" customHeight="false" outlineLevel="0" collapsed="false">
      <c r="A42" s="0" t="s">
        <v>76</v>
      </c>
      <c r="B42" s="0" t="s">
        <v>153</v>
      </c>
      <c r="C42" s="0" t="s">
        <v>77</v>
      </c>
      <c r="D42" s="0" t="s">
        <v>62</v>
      </c>
      <c r="E42" s="0" t="n">
        <v>1</v>
      </c>
      <c r="F42" s="50"/>
      <c r="G42" s="50"/>
      <c r="H42" s="50"/>
      <c r="I42" s="37"/>
      <c r="J42" s="0" t="n">
        <f aca="false">'emission data'!O9</f>
        <v>3.5</v>
      </c>
      <c r="K42" s="0" t="n">
        <f aca="false">'emission data'!P9</f>
        <v>7.8</v>
      </c>
      <c r="L42" s="0" t="n">
        <f aca="false">'emission data'!Q9</f>
        <v>3</v>
      </c>
      <c r="M42" s="21"/>
      <c r="N42" s="21"/>
    </row>
    <row r="43" customFormat="false" ht="15" hidden="false" customHeight="false" outlineLevel="0" collapsed="false">
      <c r="A43" s="0" t="s">
        <v>76</v>
      </c>
      <c r="B43" s="0" t="s">
        <v>153</v>
      </c>
      <c r="C43" s="0" t="s">
        <v>77</v>
      </c>
      <c r="D43" s="0" t="s">
        <v>70</v>
      </c>
      <c r="E43" s="0" t="n">
        <v>1</v>
      </c>
      <c r="F43" s="25" t="n">
        <f aca="false">J43*H43/J42</f>
        <v>64.9450549450549</v>
      </c>
      <c r="G43" s="25" t="n">
        <f aca="false">L43*H43/L42</f>
        <v>94.7115384615385</v>
      </c>
      <c r="H43" s="25" t="n">
        <f aca="false">(J42-J44)/(J43-J44)*100</f>
        <v>94.7115384615385</v>
      </c>
      <c r="I43" s="37" t="s">
        <v>257</v>
      </c>
      <c r="J43" s="0" t="n">
        <f aca="false">'emission data'!O10</f>
        <v>2.4</v>
      </c>
      <c r="K43" s="0" t="n">
        <f aca="false">'emission data'!P10</f>
        <v>8</v>
      </c>
      <c r="L43" s="0" t="n">
        <f aca="false">'emission data'!Q10</f>
        <v>3</v>
      </c>
    </row>
    <row r="44" customFormat="false" ht="15" hidden="false" customHeight="false" outlineLevel="0" collapsed="false">
      <c r="A44" s="0" t="s">
        <v>76</v>
      </c>
      <c r="B44" s="0" t="s">
        <v>153</v>
      </c>
      <c r="C44" s="0" t="s">
        <v>77</v>
      </c>
      <c r="D44" s="0" t="s">
        <v>71</v>
      </c>
      <c r="E44" s="0" t="n">
        <v>1</v>
      </c>
      <c r="F44" s="25" t="n">
        <f aca="false">J44*H44/J42</f>
        <v>35.0549450549451</v>
      </c>
      <c r="G44" s="25" t="n">
        <f aca="false">L44*H44/L42</f>
        <v>5.8173076923077</v>
      </c>
      <c r="H44" s="51" t="n">
        <f aca="false">100-H43</f>
        <v>5.28846153846155</v>
      </c>
      <c r="I44" s="37" t="s">
        <v>257</v>
      </c>
      <c r="J44" s="0" t="n">
        <f aca="false">'emission data'!O11</f>
        <v>23.2</v>
      </c>
      <c r="K44" s="0" t="n">
        <f aca="false">'emission data'!P11</f>
        <v>8.4</v>
      </c>
      <c r="L44" s="0" t="n">
        <f aca="false">'emission data'!Q11</f>
        <v>3.3</v>
      </c>
    </row>
    <row r="45" customFormat="false" ht="15" hidden="false" customHeight="false" outlineLevel="0" collapsed="false">
      <c r="A45" s="0" t="s">
        <v>76</v>
      </c>
      <c r="B45" s="0" t="s">
        <v>153</v>
      </c>
      <c r="C45" s="0" t="s">
        <v>77</v>
      </c>
      <c r="D45" s="0" t="s">
        <v>62</v>
      </c>
      <c r="E45" s="0" t="n">
        <v>2</v>
      </c>
      <c r="F45" s="50"/>
      <c r="G45" s="50"/>
      <c r="H45" s="50"/>
      <c r="I45" s="37"/>
      <c r="J45" s="0" t="n">
        <f aca="false">'emission data'!O12</f>
        <v>3.5</v>
      </c>
      <c r="K45" s="0" t="n">
        <f aca="false">'emission data'!P12</f>
        <v>7.8</v>
      </c>
      <c r="L45" s="0" t="n">
        <f aca="false">'emission data'!Q12</f>
        <v>2</v>
      </c>
      <c r="M45" s="21"/>
      <c r="N45" s="21"/>
    </row>
    <row r="46" customFormat="false" ht="15" hidden="false" customHeight="false" outlineLevel="0" collapsed="false">
      <c r="A46" s="0" t="s">
        <v>76</v>
      </c>
      <c r="B46" s="0" t="s">
        <v>153</v>
      </c>
      <c r="C46" s="0" t="s">
        <v>77</v>
      </c>
      <c r="D46" s="0" t="s">
        <v>70</v>
      </c>
      <c r="E46" s="0" t="n">
        <v>2</v>
      </c>
      <c r="F46" s="25" t="n">
        <f aca="false">J46*H46/J45</f>
        <v>56.8656716417911</v>
      </c>
      <c r="G46" s="25" t="n">
        <f aca="false">L46*H46/L45</f>
        <v>99.5149253731344</v>
      </c>
      <c r="H46" s="25" t="n">
        <f aca="false">(J45-J47)/(J46-J47)*100</f>
        <v>94.7761194029851</v>
      </c>
      <c r="I46" s="37" t="s">
        <v>257</v>
      </c>
      <c r="J46" s="0" t="n">
        <f aca="false">'emission data'!O13</f>
        <v>2.1</v>
      </c>
      <c r="K46" s="0" t="n">
        <f aca="false">'emission data'!P13</f>
        <v>7.8</v>
      </c>
      <c r="L46" s="0" t="n">
        <f aca="false">'emission data'!Q13</f>
        <v>2.1</v>
      </c>
      <c r="M46" s="21"/>
      <c r="N46" s="21"/>
    </row>
    <row r="47" customFormat="false" ht="15" hidden="false" customHeight="false" outlineLevel="0" collapsed="false">
      <c r="A47" s="0" t="s">
        <v>76</v>
      </c>
      <c r="B47" s="0" t="s">
        <v>153</v>
      </c>
      <c r="C47" s="0" t="s">
        <v>77</v>
      </c>
      <c r="D47" s="0" t="s">
        <v>71</v>
      </c>
      <c r="E47" s="0" t="n">
        <v>2</v>
      </c>
      <c r="F47" s="25" t="n">
        <f aca="false">J47*H47/J45</f>
        <v>43.1343283582088</v>
      </c>
      <c r="G47" s="25" t="n">
        <f aca="false">L47*H47/L45</f>
        <v>6.52985074626864</v>
      </c>
      <c r="H47" s="25" t="n">
        <f aca="false">100-H46</f>
        <v>5.22388059701491</v>
      </c>
      <c r="I47" s="37" t="s">
        <v>257</v>
      </c>
      <c r="J47" s="0" t="n">
        <f aca="false">'emission data'!O14</f>
        <v>28.9</v>
      </c>
      <c r="K47" s="0" t="n">
        <f aca="false">'emission data'!P14</f>
        <v>8.2</v>
      </c>
      <c r="L47" s="0" t="n">
        <f aca="false">'emission data'!Q14</f>
        <v>2.5</v>
      </c>
    </row>
    <row r="48" customFormat="false" ht="15" hidden="false" customHeight="false" outlineLevel="0" collapsed="false">
      <c r="A48" s="0" t="s">
        <v>83</v>
      </c>
      <c r="B48" s="0" t="s">
        <v>153</v>
      </c>
      <c r="C48" s="0" t="s">
        <v>61</v>
      </c>
      <c r="D48" s="0" t="s">
        <v>62</v>
      </c>
      <c r="E48" s="0" t="n">
        <v>3</v>
      </c>
      <c r="F48" s="20"/>
      <c r="G48" s="20"/>
      <c r="H48" s="20"/>
      <c r="I48" s="37"/>
      <c r="J48" s="0" t="n">
        <f aca="false">'emission data'!O15</f>
        <v>5.7</v>
      </c>
      <c r="K48" s="0" t="n">
        <f aca="false">'emission data'!P15</f>
        <v>7.6</v>
      </c>
      <c r="L48" s="0" t="n">
        <f aca="false">'emission data'!Q15</f>
        <v>2.1</v>
      </c>
    </row>
    <row r="49" customFormat="false" ht="15" hidden="false" customHeight="false" outlineLevel="0" collapsed="false">
      <c r="A49" s="0" t="s">
        <v>83</v>
      </c>
      <c r="B49" s="0" t="s">
        <v>153</v>
      </c>
      <c r="C49" s="0" t="s">
        <v>61</v>
      </c>
      <c r="D49" s="0" t="s">
        <v>70</v>
      </c>
      <c r="E49" s="0" t="n">
        <v>3</v>
      </c>
      <c r="F49" s="25" t="n">
        <f aca="false">J49*H49/J48</f>
        <v>71.0175438596491</v>
      </c>
      <c r="G49" s="25" t="n">
        <f aca="false">L49*H49/L48</f>
        <v>92</v>
      </c>
      <c r="H49" s="20" t="n">
        <v>92</v>
      </c>
      <c r="I49" s="3" t="s">
        <v>258</v>
      </c>
      <c r="J49" s="0" t="n">
        <f aca="false">'emission data'!O16</f>
        <v>4.4</v>
      </c>
      <c r="K49" s="0" t="n">
        <f aca="false">'emission data'!P16</f>
        <v>7.8</v>
      </c>
      <c r="L49" s="0" t="n">
        <f aca="false">'emission data'!Q16</f>
        <v>2.1</v>
      </c>
    </row>
    <row r="50" customFormat="false" ht="15" hidden="false" customHeight="false" outlineLevel="0" collapsed="false">
      <c r="A50" s="0" t="s">
        <v>83</v>
      </c>
      <c r="B50" s="0" t="s">
        <v>153</v>
      </c>
      <c r="C50" s="0" t="s">
        <v>61</v>
      </c>
      <c r="D50" s="0" t="s">
        <v>71</v>
      </c>
      <c r="E50" s="0" t="n">
        <v>3</v>
      </c>
      <c r="F50" s="25" t="n">
        <f aca="false">J50*H50/J48</f>
        <v>32</v>
      </c>
      <c r="G50" s="25" t="n">
        <f aca="false">L50*H50/L48</f>
        <v>6.85714285714286</v>
      </c>
      <c r="H50" s="20" t="n">
        <v>8</v>
      </c>
      <c r="I50" s="3" t="s">
        <v>258</v>
      </c>
      <c r="J50" s="0" t="n">
        <f aca="false">'emission data'!O17</f>
        <v>22.8</v>
      </c>
      <c r="K50" s="0" t="n">
        <f aca="false">'emission data'!P17</f>
        <v>8.7</v>
      </c>
      <c r="L50" s="0" t="n">
        <f aca="false">'emission data'!Q17</f>
        <v>1.8</v>
      </c>
    </row>
    <row r="51" customFormat="false" ht="15" hidden="false" customHeight="false" outlineLevel="0" collapsed="false">
      <c r="A51" s="0" t="s">
        <v>83</v>
      </c>
      <c r="B51" s="0" t="s">
        <v>153</v>
      </c>
      <c r="C51" s="0" t="s">
        <v>61</v>
      </c>
      <c r="D51" s="0" t="s">
        <v>62</v>
      </c>
      <c r="E51" s="0" t="n">
        <v>4</v>
      </c>
      <c r="F51" s="20"/>
      <c r="G51" s="20"/>
      <c r="H51" s="20"/>
      <c r="I51" s="3"/>
      <c r="J51" s="0" t="n">
        <f aca="false">'emission data'!O18</f>
        <v>7.1</v>
      </c>
      <c r="K51" s="0" t="n">
        <f aca="false">'emission data'!P18</f>
        <v>7.5</v>
      </c>
      <c r="L51" s="0" t="n">
        <f aca="false">'emission data'!Q18</f>
        <v>1.5</v>
      </c>
    </row>
    <row r="52" customFormat="false" ht="15" hidden="false" customHeight="false" outlineLevel="0" collapsed="false">
      <c r="A52" s="0" t="s">
        <v>83</v>
      </c>
      <c r="B52" s="0" t="s">
        <v>153</v>
      </c>
      <c r="C52" s="0" t="s">
        <v>61</v>
      </c>
      <c r="D52" s="0" t="s">
        <v>70</v>
      </c>
      <c r="E52" s="0" t="n">
        <v>4</v>
      </c>
      <c r="F52" s="25" t="n">
        <f aca="false">J52*H52/J51</f>
        <v>53.2957746478873</v>
      </c>
      <c r="G52" s="25" t="n">
        <f aca="false">L52*H52/L51</f>
        <v>97.4666666666667</v>
      </c>
      <c r="H52" s="20" t="n">
        <v>86</v>
      </c>
      <c r="I52" s="3" t="s">
        <v>258</v>
      </c>
      <c r="J52" s="0" t="n">
        <f aca="false">'emission data'!O19</f>
        <v>4.4</v>
      </c>
      <c r="K52" s="0" t="n">
        <f aca="false">'emission data'!P19</f>
        <v>7.8</v>
      </c>
      <c r="L52" s="0" t="n">
        <f aca="false">'emission data'!Q19</f>
        <v>1.7</v>
      </c>
    </row>
    <row r="53" customFormat="false" ht="15" hidden="false" customHeight="false" outlineLevel="0" collapsed="false">
      <c r="A53" s="0" t="s">
        <v>83</v>
      </c>
      <c r="B53" s="0" t="s">
        <v>153</v>
      </c>
      <c r="C53" s="0" t="s">
        <v>61</v>
      </c>
      <c r="D53" s="0" t="s">
        <v>71</v>
      </c>
      <c r="E53" s="0" t="n">
        <v>4</v>
      </c>
      <c r="F53" s="25" t="n">
        <f aca="false">J53*H53/J51</f>
        <v>41.2112676056338</v>
      </c>
      <c r="G53" s="25" t="n">
        <f aca="false">L53*H53/L51</f>
        <v>13.0666666666667</v>
      </c>
      <c r="H53" s="20" t="n">
        <v>14</v>
      </c>
      <c r="I53" s="3" t="s">
        <v>258</v>
      </c>
      <c r="J53" s="0" t="n">
        <f aca="false">'emission data'!O20</f>
        <v>20.9</v>
      </c>
      <c r="K53" s="0" t="n">
        <f aca="false">'emission data'!P20</f>
        <v>8.2</v>
      </c>
      <c r="L53" s="0" t="n">
        <f aca="false">'emission data'!Q20</f>
        <v>1.4</v>
      </c>
    </row>
    <row r="54" customFormat="false" ht="15" hidden="false" customHeight="false" outlineLevel="0" collapsed="false">
      <c r="A54" s="0" t="s">
        <v>259</v>
      </c>
      <c r="B54" s="0" t="s">
        <v>153</v>
      </c>
      <c r="C54" s="0" t="s">
        <v>140</v>
      </c>
      <c r="D54" s="0" t="s">
        <v>62</v>
      </c>
      <c r="E54" s="0" t="n">
        <v>1</v>
      </c>
      <c r="H54" s="20"/>
      <c r="I54" s="3"/>
      <c r="J54" s="0" t="n">
        <v>6.51</v>
      </c>
      <c r="K54" s="0" t="n">
        <v>8</v>
      </c>
      <c r="L54" s="0" t="n">
        <v>4.56</v>
      </c>
    </row>
    <row r="55" customFormat="false" ht="15" hidden="false" customHeight="false" outlineLevel="0" collapsed="false">
      <c r="A55" s="0" t="s">
        <v>259</v>
      </c>
      <c r="B55" s="0" t="s">
        <v>153</v>
      </c>
      <c r="C55" s="0" t="s">
        <v>140</v>
      </c>
      <c r="D55" s="0" t="s">
        <v>70</v>
      </c>
      <c r="E55" s="0" t="n">
        <v>1</v>
      </c>
      <c r="F55" s="0" t="n">
        <v>68</v>
      </c>
      <c r="G55" s="0" t="n">
        <v>93</v>
      </c>
      <c r="H55" s="25" t="n">
        <f aca="false">(J54-J56)/(J55-J56)*100</f>
        <v>91.7545541706616</v>
      </c>
      <c r="I55" s="3" t="s">
        <v>260</v>
      </c>
      <c r="J55" s="0" t="n">
        <v>4.79</v>
      </c>
      <c r="K55" s="0" t="n">
        <v>8</v>
      </c>
      <c r="L55" s="0" t="n">
        <v>5.1</v>
      </c>
    </row>
    <row r="56" customFormat="false" ht="15" hidden="false" customHeight="false" outlineLevel="0" collapsed="false">
      <c r="A56" s="0" t="s">
        <v>259</v>
      </c>
      <c r="B56" s="0" t="s">
        <v>153</v>
      </c>
      <c r="C56" s="0" t="s">
        <v>140</v>
      </c>
      <c r="D56" s="0" t="s">
        <v>71</v>
      </c>
      <c r="E56" s="0" t="n">
        <v>1</v>
      </c>
      <c r="F56" s="0" t="n">
        <v>32</v>
      </c>
      <c r="G56" s="0" t="n">
        <v>7</v>
      </c>
      <c r="H56" s="25" t="n">
        <f aca="false">100-H55</f>
        <v>8.24544582933844</v>
      </c>
      <c r="I56" s="3" t="s">
        <v>260</v>
      </c>
      <c r="J56" s="0" t="n">
        <v>25.65</v>
      </c>
      <c r="K56" s="0" t="n">
        <v>9.6</v>
      </c>
      <c r="L56" s="0" t="n">
        <v>2.33</v>
      </c>
    </row>
    <row r="57" customFormat="false" ht="15" hidden="false" customHeight="false" outlineLevel="0" collapsed="false">
      <c r="A57" s="0" t="s">
        <v>261</v>
      </c>
      <c r="B57" s="0" t="s">
        <v>120</v>
      </c>
      <c r="C57" s="0" t="s">
        <v>61</v>
      </c>
      <c r="D57" s="0" t="s">
        <v>62</v>
      </c>
      <c r="E57" s="0" t="n">
        <v>1</v>
      </c>
      <c r="J57" s="0" t="n">
        <v>6.3</v>
      </c>
      <c r="K57" s="0" t="n">
        <v>7.07</v>
      </c>
      <c r="L57" s="0" t="n">
        <v>2.53</v>
      </c>
    </row>
    <row r="58" customFormat="false" ht="15" hidden="false" customHeight="false" outlineLevel="0" collapsed="false">
      <c r="A58" s="0" t="s">
        <v>261</v>
      </c>
      <c r="B58" s="0" t="s">
        <v>120</v>
      </c>
      <c r="C58" s="0" t="s">
        <v>61</v>
      </c>
      <c r="D58" s="0" t="s">
        <v>70</v>
      </c>
      <c r="E58" s="0" t="n">
        <v>1</v>
      </c>
      <c r="F58" s="22" t="n">
        <f aca="false">J58*H58/J57</f>
        <v>59.1069236532913</v>
      </c>
      <c r="G58" s="22" t="n">
        <f aca="false">L58*H58/L57</f>
        <v>139.878869038561</v>
      </c>
      <c r="H58" s="22" t="n">
        <f aca="false">(J57-J59)/(J58-J59)*100</f>
        <v>92.4004017408771</v>
      </c>
      <c r="I58" s="0" t="s">
        <v>262</v>
      </c>
      <c r="J58" s="0" t="n">
        <v>4.03</v>
      </c>
      <c r="K58" s="0" t="n">
        <v>7.5</v>
      </c>
      <c r="L58" s="0" t="n">
        <v>3.83</v>
      </c>
    </row>
    <row r="59" customFormat="false" ht="15" hidden="false" customHeight="false" outlineLevel="0" collapsed="false">
      <c r="A59" s="0" t="s">
        <v>261</v>
      </c>
      <c r="B59" s="0" t="s">
        <v>120</v>
      </c>
      <c r="C59" s="0" t="s">
        <v>61</v>
      </c>
      <c r="D59" s="0" t="s">
        <v>71</v>
      </c>
      <c r="E59" s="0" t="n">
        <v>1</v>
      </c>
      <c r="F59" s="0" t="n">
        <v>35.83</v>
      </c>
      <c r="G59" s="49" t="n">
        <f aca="false">L59*H59/L57</f>
        <v>0.901138133492831</v>
      </c>
      <c r="H59" s="22" t="n">
        <f aca="false">100-H58</f>
        <v>7.59959825912287</v>
      </c>
      <c r="I59" s="0" t="s">
        <v>262</v>
      </c>
      <c r="J59" s="0" t="n">
        <v>33.9</v>
      </c>
      <c r="K59" s="0" t="n">
        <v>8.7</v>
      </c>
      <c r="L59" s="0" t="n">
        <v>0.3</v>
      </c>
    </row>
    <row r="60" customFormat="false" ht="15" hidden="false" customHeight="false" outlineLevel="0" collapsed="false">
      <c r="A60" s="0" t="s">
        <v>261</v>
      </c>
      <c r="B60" s="0" t="s">
        <v>153</v>
      </c>
      <c r="C60" s="0" t="s">
        <v>61</v>
      </c>
      <c r="D60" s="0" t="s">
        <v>62</v>
      </c>
      <c r="E60" s="0" t="n">
        <v>3</v>
      </c>
      <c r="H60" s="52"/>
      <c r="J60" s="0" t="n">
        <v>6.17</v>
      </c>
      <c r="K60" s="0" t="n">
        <v>7.03</v>
      </c>
      <c r="L60" s="0" t="n">
        <v>2.63</v>
      </c>
    </row>
    <row r="61" customFormat="false" ht="15" hidden="false" customHeight="false" outlineLevel="0" collapsed="false">
      <c r="A61" s="0" t="s">
        <v>261</v>
      </c>
      <c r="B61" s="0" t="s">
        <v>153</v>
      </c>
      <c r="C61" s="0" t="s">
        <v>61</v>
      </c>
      <c r="D61" s="0" t="s">
        <v>70</v>
      </c>
      <c r="E61" s="0" t="n">
        <v>3</v>
      </c>
      <c r="F61" s="22" t="n">
        <f aca="false">J61*H61/J60</f>
        <v>76.5712566923507</v>
      </c>
      <c r="G61" s="22" t="n">
        <f aca="false">L61*H61/L60</f>
        <v>117.482434821232</v>
      </c>
      <c r="H61" s="22" t="n">
        <f aca="false">(J60-J62)/(J61-J62)*100</f>
        <v>94.4889307583608</v>
      </c>
      <c r="I61" s="0" t="s">
        <v>262</v>
      </c>
      <c r="J61" s="0" t="n">
        <v>5</v>
      </c>
      <c r="K61" s="0" t="n">
        <v>7.13</v>
      </c>
      <c r="L61" s="0" t="n">
        <v>3.27</v>
      </c>
    </row>
    <row r="62" customFormat="false" ht="15" hidden="false" customHeight="false" outlineLevel="0" collapsed="false">
      <c r="A62" s="0" t="s">
        <v>261</v>
      </c>
      <c r="B62" s="0" t="s">
        <v>153</v>
      </c>
      <c r="C62" s="0" t="s">
        <v>61</v>
      </c>
      <c r="D62" s="0" t="s">
        <v>71</v>
      </c>
      <c r="E62" s="0" t="n">
        <v>3</v>
      </c>
      <c r="F62" s="0" t="n">
        <v>28</v>
      </c>
      <c r="G62" s="22" t="n">
        <f aca="false">L62*H62/L60</f>
        <v>11.8812785551689</v>
      </c>
      <c r="H62" s="22" t="n">
        <f aca="false">100-H61</f>
        <v>5.51106924163918</v>
      </c>
      <c r="I62" s="0" t="s">
        <v>262</v>
      </c>
      <c r="J62" s="0" t="n">
        <v>26.23</v>
      </c>
      <c r="K62" s="0" t="n">
        <v>8.47</v>
      </c>
      <c r="L62" s="0" t="n">
        <v>5.67</v>
      </c>
    </row>
    <row r="63" customFormat="false" ht="15" hidden="false" customHeight="false" outlineLevel="0" collapsed="false">
      <c r="A63" s="0" t="s">
        <v>261</v>
      </c>
      <c r="B63" s="0" t="s">
        <v>120</v>
      </c>
      <c r="C63" s="0" t="s">
        <v>61</v>
      </c>
      <c r="D63" s="0" t="s">
        <v>62</v>
      </c>
      <c r="E63" s="0" t="n">
        <v>4</v>
      </c>
      <c r="H63" s="52"/>
      <c r="J63" s="0" t="n">
        <v>7.8</v>
      </c>
      <c r="K63" s="0" t="n">
        <v>6.97</v>
      </c>
      <c r="L63" s="0" t="n">
        <v>2.23</v>
      </c>
    </row>
    <row r="64" customFormat="false" ht="15" hidden="false" customHeight="false" outlineLevel="0" collapsed="false">
      <c r="A64" s="0" t="s">
        <v>261</v>
      </c>
      <c r="B64" s="0" t="s">
        <v>120</v>
      </c>
      <c r="C64" s="0" t="s">
        <v>61</v>
      </c>
      <c r="D64" s="0" t="s">
        <v>70</v>
      </c>
      <c r="E64" s="0" t="n">
        <v>4</v>
      </c>
      <c r="F64" s="22" t="n">
        <f aca="false">J64*H64/J63</f>
        <v>47.6163569945599</v>
      </c>
      <c r="G64" s="22" t="n">
        <f aca="false">L64*H64/L63</f>
        <v>158.67575886175</v>
      </c>
      <c r="H64" s="22" t="n">
        <f aca="false">(J63-J65)/(J64-J65)*100</f>
        <v>87.8032114793304</v>
      </c>
      <c r="I64" s="0" t="s">
        <v>263</v>
      </c>
      <c r="J64" s="0" t="n">
        <v>4.23</v>
      </c>
      <c r="K64" s="0" t="n">
        <v>7.39</v>
      </c>
      <c r="L64" s="0" t="n">
        <v>4.03</v>
      </c>
    </row>
    <row r="65" customFormat="false" ht="15" hidden="false" customHeight="false" outlineLevel="0" collapsed="false">
      <c r="A65" s="0" t="s">
        <v>261</v>
      </c>
      <c r="B65" s="0" t="s">
        <v>120</v>
      </c>
      <c r="C65" s="0" t="s">
        <v>61</v>
      </c>
      <c r="D65" s="0" t="s">
        <v>71</v>
      </c>
      <c r="E65" s="0" t="n">
        <v>4</v>
      </c>
      <c r="F65" s="0" t="n">
        <v>49.13</v>
      </c>
      <c r="G65" s="22" t="n">
        <f aca="false">L65*H65/L63</f>
        <v>2.18776475707079</v>
      </c>
      <c r="H65" s="22" t="n">
        <f aca="false">100-H64</f>
        <v>12.1967885206696</v>
      </c>
      <c r="I65" s="0" t="s">
        <v>263</v>
      </c>
      <c r="J65" s="0" t="n">
        <v>33.5</v>
      </c>
      <c r="K65" s="0" t="n">
        <v>8.47</v>
      </c>
      <c r="L65" s="0" t="n">
        <v>0.4</v>
      </c>
    </row>
    <row r="66" customFormat="false" ht="15" hidden="false" customHeight="false" outlineLevel="0" collapsed="false">
      <c r="A66" s="0" t="s">
        <v>261</v>
      </c>
      <c r="B66" s="0" t="s">
        <v>153</v>
      </c>
      <c r="C66" s="0" t="s">
        <v>61</v>
      </c>
      <c r="D66" s="0" t="s">
        <v>62</v>
      </c>
      <c r="E66" s="0" t="n">
        <v>6</v>
      </c>
      <c r="H66" s="52"/>
      <c r="J66" s="0" t="n">
        <v>7.8</v>
      </c>
      <c r="K66" s="0" t="n">
        <v>7</v>
      </c>
      <c r="L66" s="0" t="n">
        <v>2.17</v>
      </c>
    </row>
    <row r="67" customFormat="false" ht="15" hidden="false" customHeight="false" outlineLevel="0" collapsed="false">
      <c r="A67" s="0" t="s">
        <v>261</v>
      </c>
      <c r="B67" s="0" t="s">
        <v>153</v>
      </c>
      <c r="C67" s="0" t="s">
        <v>61</v>
      </c>
      <c r="D67" s="0" t="s">
        <v>70</v>
      </c>
      <c r="E67" s="0" t="n">
        <v>6</v>
      </c>
      <c r="F67" s="22" t="n">
        <f aca="false">J67*H67/J66</f>
        <v>57.5773466177242</v>
      </c>
      <c r="G67" s="22" t="n">
        <f aca="false">L67*H67/L66</f>
        <v>138.106031864173</v>
      </c>
      <c r="H67" s="22" t="n">
        <f aca="false">(J66-J68)/(J67-J68)*100</f>
        <v>86.3660199265863</v>
      </c>
      <c r="I67" s="0" t="s">
        <v>263</v>
      </c>
      <c r="J67" s="0" t="n">
        <v>5.2</v>
      </c>
      <c r="K67" s="0" t="n">
        <v>7.07</v>
      </c>
      <c r="L67" s="0" t="n">
        <v>3.47</v>
      </c>
    </row>
    <row r="68" customFormat="false" ht="15" hidden="false" customHeight="false" outlineLevel="0" collapsed="false">
      <c r="A68" s="0" t="s">
        <v>261</v>
      </c>
      <c r="B68" s="0" t="s">
        <v>153</v>
      </c>
      <c r="C68" s="0" t="s">
        <v>61</v>
      </c>
      <c r="D68" s="0" t="s">
        <v>71</v>
      </c>
      <c r="E68" s="0" t="n">
        <v>6</v>
      </c>
      <c r="F68" s="0" t="n">
        <v>42.67</v>
      </c>
      <c r="G68" s="22" t="n">
        <f aca="false">L68*H68/L66</f>
        <v>3.32995826677847</v>
      </c>
      <c r="H68" s="22" t="n">
        <f aca="false">100-H67</f>
        <v>13.6339800734137</v>
      </c>
      <c r="I68" s="0" t="s">
        <v>263</v>
      </c>
      <c r="J68" s="0" t="n">
        <v>24.27</v>
      </c>
      <c r="K68" s="0" t="n">
        <v>8.5</v>
      </c>
      <c r="L68" s="0" t="n">
        <v>0.53</v>
      </c>
    </row>
    <row r="69" customFormat="false" ht="15" hidden="false" customHeight="false" outlineLevel="0" collapsed="false">
      <c r="A69" s="0" t="s">
        <v>264</v>
      </c>
      <c r="B69" s="0" t="s">
        <v>153</v>
      </c>
      <c r="C69" s="0" t="s">
        <v>140</v>
      </c>
      <c r="D69" s="0" t="s">
        <v>62</v>
      </c>
      <c r="E69" s="0" t="n">
        <v>1</v>
      </c>
      <c r="J69" s="0" t="n">
        <v>8.32</v>
      </c>
      <c r="L69" s="0" t="n">
        <v>0.28</v>
      </c>
      <c r="M69" s="0" t="s">
        <v>265</v>
      </c>
    </row>
    <row r="70" customFormat="false" ht="15" hidden="false" customHeight="false" outlineLevel="0" collapsed="false">
      <c r="A70" s="0" t="s">
        <v>264</v>
      </c>
      <c r="B70" s="0" t="s">
        <v>153</v>
      </c>
      <c r="C70" s="0" t="s">
        <v>140</v>
      </c>
      <c r="D70" s="0" t="s">
        <v>70</v>
      </c>
      <c r="E70" s="0" t="n">
        <v>1</v>
      </c>
      <c r="F70" s="0" t="n">
        <v>51.8</v>
      </c>
      <c r="G70" s="0" t="n">
        <v>81.3</v>
      </c>
      <c r="H70" s="22" t="n">
        <f aca="false">9200/13300*100</f>
        <v>69.1729323308271</v>
      </c>
      <c r="I70" s="0" t="s">
        <v>266</v>
      </c>
      <c r="J70" s="0" t="n">
        <v>5.06</v>
      </c>
      <c r="L70" s="0" t="n">
        <v>0.27</v>
      </c>
      <c r="M70" s="0" t="s">
        <v>265</v>
      </c>
    </row>
    <row r="71" customFormat="false" ht="15" hidden="false" customHeight="false" outlineLevel="0" collapsed="false">
      <c r="A71" s="0" t="s">
        <v>264</v>
      </c>
      <c r="B71" s="0" t="s">
        <v>153</v>
      </c>
      <c r="C71" s="0" t="s">
        <v>140</v>
      </c>
      <c r="D71" s="0" t="s">
        <v>71</v>
      </c>
      <c r="E71" s="0" t="n">
        <v>1</v>
      </c>
      <c r="F71" s="0" t="n">
        <v>46.5</v>
      </c>
      <c r="G71" s="0" t="n">
        <v>14.5</v>
      </c>
      <c r="H71" s="22" t="n">
        <f aca="false">100-H70</f>
        <v>30.8270676691729</v>
      </c>
      <c r="I71" s="0" t="s">
        <v>267</v>
      </c>
      <c r="J71" s="0" t="n">
        <v>24.6</v>
      </c>
      <c r="L71" s="0" t="n">
        <v>0.26</v>
      </c>
      <c r="M71" s="0" t="s">
        <v>265</v>
      </c>
    </row>
    <row r="72" customFormat="false" ht="15" hidden="false" customHeight="false" outlineLevel="0" collapsed="false">
      <c r="A72" s="0" t="s">
        <v>264</v>
      </c>
      <c r="B72" s="0" t="s">
        <v>153</v>
      </c>
      <c r="C72" s="0" t="s">
        <v>140</v>
      </c>
      <c r="D72" s="0" t="s">
        <v>62</v>
      </c>
      <c r="E72" s="0" t="n">
        <v>2</v>
      </c>
      <c r="H72" s="27"/>
      <c r="J72" s="0" t="n">
        <v>7.45</v>
      </c>
      <c r="L72" s="0" t="n">
        <v>0.22</v>
      </c>
      <c r="M72" s="0" t="s">
        <v>265</v>
      </c>
    </row>
    <row r="73" customFormat="false" ht="15" hidden="false" customHeight="false" outlineLevel="0" collapsed="false">
      <c r="A73" s="0" t="s">
        <v>264</v>
      </c>
      <c r="B73" s="0" t="s">
        <v>153</v>
      </c>
      <c r="C73" s="0" t="s">
        <v>140</v>
      </c>
      <c r="D73" s="0" t="s">
        <v>70</v>
      </c>
      <c r="E73" s="0" t="n">
        <v>2</v>
      </c>
      <c r="F73" s="0" t="n">
        <v>39.9</v>
      </c>
      <c r="G73" s="0" t="n">
        <v>87.5</v>
      </c>
      <c r="H73" s="22" t="n">
        <f aca="false">9060/12700*100</f>
        <v>71.3385826771654</v>
      </c>
      <c r="I73" s="0" t="s">
        <v>268</v>
      </c>
      <c r="J73" s="0" t="n">
        <v>4.06</v>
      </c>
      <c r="L73" s="0" t="n">
        <v>0.23</v>
      </c>
      <c r="M73" s="0" t="s">
        <v>265</v>
      </c>
    </row>
    <row r="74" customFormat="false" ht="15" hidden="false" customHeight="false" outlineLevel="0" collapsed="false">
      <c r="A74" s="0" t="s">
        <v>264</v>
      </c>
      <c r="B74" s="0" t="s">
        <v>153</v>
      </c>
      <c r="C74" s="0" t="s">
        <v>140</v>
      </c>
      <c r="D74" s="0" t="s">
        <v>71</v>
      </c>
      <c r="E74" s="0" t="n">
        <v>2</v>
      </c>
      <c r="F74" s="0" t="n">
        <v>55.7</v>
      </c>
      <c r="G74" s="0" t="n">
        <v>13.8</v>
      </c>
      <c r="H74" s="22" t="n">
        <f aca="false">100-H73</f>
        <v>28.6614173228347</v>
      </c>
      <c r="I74" s="0" t="s">
        <v>269</v>
      </c>
      <c r="J74" s="0" t="n">
        <v>23.7</v>
      </c>
      <c r="L74" s="0" t="n">
        <v>0.2</v>
      </c>
      <c r="M74" s="0" t="s">
        <v>265</v>
      </c>
    </row>
    <row r="75" customFormat="false" ht="15" hidden="false" customHeight="false" outlineLevel="0" collapsed="false">
      <c r="A75" s="0" t="s">
        <v>264</v>
      </c>
      <c r="B75" s="0" t="s">
        <v>153</v>
      </c>
      <c r="C75" s="0" t="s">
        <v>140</v>
      </c>
      <c r="D75" s="0" t="s">
        <v>62</v>
      </c>
      <c r="E75" s="0" t="n">
        <v>3</v>
      </c>
      <c r="H75" s="27"/>
      <c r="J75" s="0" t="n">
        <v>5.5</v>
      </c>
      <c r="L75" s="0" t="n">
        <v>0.13</v>
      </c>
      <c r="M75" s="0" t="s">
        <v>265</v>
      </c>
    </row>
    <row r="76" customFormat="false" ht="15" hidden="false" customHeight="false" outlineLevel="0" collapsed="false">
      <c r="A76" s="0" t="s">
        <v>264</v>
      </c>
      <c r="B76" s="0" t="s">
        <v>153</v>
      </c>
      <c r="C76" s="0" t="s">
        <v>140</v>
      </c>
      <c r="D76" s="0" t="s">
        <v>70</v>
      </c>
      <c r="E76" s="0" t="n">
        <v>3</v>
      </c>
      <c r="F76" s="0" t="n">
        <v>93.8</v>
      </c>
      <c r="G76" s="0" t="n">
        <v>93.3</v>
      </c>
      <c r="H76" s="22" t="n">
        <f aca="false">25200/25500*100</f>
        <v>98.8235294117647</v>
      </c>
      <c r="I76" s="0" t="s">
        <v>270</v>
      </c>
      <c r="J76" s="0" t="n">
        <v>5.19</v>
      </c>
      <c r="L76" s="0" t="n">
        <v>0.12</v>
      </c>
      <c r="M76" s="0" t="s">
        <v>265</v>
      </c>
    </row>
    <row r="77" customFormat="false" ht="15" hidden="false" customHeight="false" outlineLevel="0" collapsed="false">
      <c r="A77" s="0" t="s">
        <v>264</v>
      </c>
      <c r="B77" s="0" t="s">
        <v>153</v>
      </c>
      <c r="C77" s="0" t="s">
        <v>140</v>
      </c>
      <c r="D77" s="0" t="s">
        <v>71</v>
      </c>
      <c r="E77" s="0" t="n">
        <v>3</v>
      </c>
      <c r="F77" s="0" t="n">
        <v>3.9</v>
      </c>
      <c r="G77" s="0" t="n">
        <v>0.7</v>
      </c>
      <c r="H77" s="22" t="n">
        <f aca="false">100-H76</f>
        <v>1.17647058823529</v>
      </c>
      <c r="I77" s="0" t="s">
        <v>271</v>
      </c>
      <c r="J77" s="0" t="n">
        <v>29.3</v>
      </c>
      <c r="L77" s="0" t="n">
        <v>0.12</v>
      </c>
      <c r="M77" s="0" t="s">
        <v>265</v>
      </c>
    </row>
    <row r="78" customFormat="false" ht="15" hidden="false" customHeight="false" outlineLevel="0" collapsed="false">
      <c r="A78" s="0" t="s">
        <v>264</v>
      </c>
      <c r="B78" s="0" t="s">
        <v>153</v>
      </c>
      <c r="C78" s="0" t="s">
        <v>61</v>
      </c>
      <c r="D78" s="0" t="s">
        <v>62</v>
      </c>
      <c r="E78" s="0" t="n">
        <v>4</v>
      </c>
      <c r="H78" s="27"/>
      <c r="J78" s="0" t="n">
        <v>9.96</v>
      </c>
      <c r="L78" s="0" t="n">
        <v>0.23</v>
      </c>
      <c r="M78" s="0" t="s">
        <v>265</v>
      </c>
    </row>
    <row r="79" customFormat="false" ht="15" hidden="false" customHeight="false" outlineLevel="0" collapsed="false">
      <c r="A79" s="0" t="s">
        <v>264</v>
      </c>
      <c r="B79" s="0" t="s">
        <v>153</v>
      </c>
      <c r="C79" s="0" t="s">
        <v>61</v>
      </c>
      <c r="D79" s="0" t="s">
        <v>70</v>
      </c>
      <c r="E79" s="0" t="n">
        <v>4</v>
      </c>
      <c r="F79" s="0" t="n">
        <v>38.3</v>
      </c>
      <c r="G79" s="0" t="n">
        <v>77.1</v>
      </c>
      <c r="H79" s="22" t="n">
        <f aca="false">1555/2010*100</f>
        <v>77.363184079602</v>
      </c>
      <c r="I79" s="0" t="s">
        <v>272</v>
      </c>
      <c r="J79" s="0" t="n">
        <v>4.93</v>
      </c>
      <c r="L79" s="0" t="n">
        <v>0.22</v>
      </c>
      <c r="M79" s="0" t="s">
        <v>265</v>
      </c>
    </row>
    <row r="80" customFormat="false" ht="15" hidden="false" customHeight="false" outlineLevel="0" collapsed="false">
      <c r="A80" s="0" t="s">
        <v>264</v>
      </c>
      <c r="B80" s="0" t="s">
        <v>153</v>
      </c>
      <c r="C80" s="0" t="s">
        <v>61</v>
      </c>
      <c r="D80" s="0" t="s">
        <v>71</v>
      </c>
      <c r="E80" s="0" t="n">
        <v>4</v>
      </c>
      <c r="F80" s="0" t="n">
        <v>70.5</v>
      </c>
      <c r="G80" s="0" t="n">
        <v>20.2</v>
      </c>
      <c r="H80" s="22" t="n">
        <f aca="false">100-H79</f>
        <v>22.636815920398</v>
      </c>
      <c r="I80" s="0" t="s">
        <v>273</v>
      </c>
      <c r="J80" s="0" t="n">
        <v>25.3</v>
      </c>
      <c r="L80" s="0" t="n">
        <v>0.16</v>
      </c>
      <c r="M80" s="0" t="s">
        <v>265</v>
      </c>
    </row>
    <row r="81" customFormat="false" ht="15" hidden="false" customHeight="false" outlineLevel="0" collapsed="false">
      <c r="A81" s="0" t="s">
        <v>274</v>
      </c>
      <c r="B81" s="0" t="s">
        <v>153</v>
      </c>
      <c r="C81" s="0" t="s">
        <v>140</v>
      </c>
      <c r="D81" s="0" t="s">
        <v>62</v>
      </c>
      <c r="E81" s="0" t="n">
        <v>1</v>
      </c>
      <c r="I81" s="3"/>
      <c r="J81" s="21" t="n">
        <v>5.1</v>
      </c>
      <c r="K81" s="21" t="n">
        <v>7.7</v>
      </c>
      <c r="L81" s="21" t="n">
        <v>1.488</v>
      </c>
    </row>
    <row r="82" customFormat="false" ht="15" hidden="false" customHeight="false" outlineLevel="0" collapsed="false">
      <c r="A82" s="0" t="s">
        <v>274</v>
      </c>
      <c r="B82" s="0" t="s">
        <v>153</v>
      </c>
      <c r="C82" s="0" t="s">
        <v>140</v>
      </c>
      <c r="D82" s="0" t="s">
        <v>70</v>
      </c>
      <c r="E82" s="0" t="n">
        <v>1</v>
      </c>
      <c r="F82" s="22" t="n">
        <f aca="false">J82*H82/J81</f>
        <v>53.3088235294118</v>
      </c>
      <c r="G82" s="22" t="n">
        <f aca="false">L82*H82/L81</f>
        <v>96.0181451612903</v>
      </c>
      <c r="H82" s="22" t="n">
        <f aca="false">(J81-J83)/(J82-J83)*100</f>
        <v>93.75</v>
      </c>
      <c r="I82" s="3" t="s">
        <v>275</v>
      </c>
      <c r="J82" s="21" t="n">
        <v>2.9</v>
      </c>
      <c r="K82" s="21" t="n">
        <v>7.8</v>
      </c>
      <c r="L82" s="21" t="n">
        <v>1.524</v>
      </c>
    </row>
    <row r="83" customFormat="false" ht="15" hidden="false" customHeight="false" outlineLevel="0" collapsed="false">
      <c r="A83" s="0" t="s">
        <v>274</v>
      </c>
      <c r="B83" s="0" t="s">
        <v>153</v>
      </c>
      <c r="C83" s="0" t="s">
        <v>140</v>
      </c>
      <c r="D83" s="0" t="s">
        <v>71</v>
      </c>
      <c r="E83" s="0" t="n">
        <v>1</v>
      </c>
      <c r="F83" s="22" t="n">
        <f aca="false">J83*H83/J81</f>
        <v>46.6911764705883</v>
      </c>
      <c r="G83" s="22" t="n">
        <f aca="false">L83*H83/L81</f>
        <v>1.37348790322581</v>
      </c>
      <c r="H83" s="22" t="n">
        <f aca="false">100-H82</f>
        <v>6.25000000000001</v>
      </c>
      <c r="I83" s="3" t="s">
        <v>275</v>
      </c>
      <c r="J83" s="21" t="n">
        <v>38.1</v>
      </c>
      <c r="K83" s="21" t="n">
        <v>9.2</v>
      </c>
      <c r="L83" s="21" t="n">
        <v>0.327</v>
      </c>
    </row>
    <row r="84" customFormat="false" ht="15" hidden="false" customHeight="false" outlineLevel="0" collapsed="false">
      <c r="A84" s="0" t="s">
        <v>274</v>
      </c>
      <c r="B84" s="0" t="s">
        <v>153</v>
      </c>
      <c r="C84" s="0" t="s">
        <v>61</v>
      </c>
      <c r="D84" s="0" t="s">
        <v>62</v>
      </c>
      <c r="E84" s="0" t="n">
        <v>2</v>
      </c>
      <c r="I84" s="3"/>
      <c r="J84" s="21" t="n">
        <v>2.7</v>
      </c>
      <c r="K84" s="21" t="n">
        <v>6.8</v>
      </c>
      <c r="L84" s="21" t="n">
        <v>0.771</v>
      </c>
    </row>
    <row r="85" customFormat="false" ht="15" hidden="false" customHeight="false" outlineLevel="0" collapsed="false">
      <c r="A85" s="0" t="s">
        <v>274</v>
      </c>
      <c r="B85" s="0" t="s">
        <v>153</v>
      </c>
      <c r="C85" s="0" t="s">
        <v>61</v>
      </c>
      <c r="D85" s="0" t="s">
        <v>70</v>
      </c>
      <c r="E85" s="0" t="n">
        <v>2</v>
      </c>
      <c r="F85" s="22" t="n">
        <f aca="false">J85*H85/J84</f>
        <v>76.4669163545568</v>
      </c>
      <c r="G85" s="22" t="n">
        <f aca="false">L85*H85/L84</f>
        <v>102.522624928956</v>
      </c>
      <c r="H85" s="22" t="n">
        <f aca="false">(J84-J86)/(J85-J86)*100</f>
        <v>98.314606741573</v>
      </c>
      <c r="I85" s="3" t="s">
        <v>275</v>
      </c>
      <c r="J85" s="21" t="n">
        <v>2.1</v>
      </c>
      <c r="K85" s="21" t="n">
        <v>6.6</v>
      </c>
      <c r="L85" s="21" t="n">
        <v>0.804</v>
      </c>
    </row>
    <row r="86" customFormat="false" ht="15" hidden="false" customHeight="false" outlineLevel="0" collapsed="false">
      <c r="A86" s="0" t="s">
        <v>274</v>
      </c>
      <c r="B86" s="0" t="s">
        <v>153</v>
      </c>
      <c r="C86" s="0" t="s">
        <v>61</v>
      </c>
      <c r="D86" s="0" t="s">
        <v>71</v>
      </c>
      <c r="E86" s="0" t="n">
        <v>2</v>
      </c>
      <c r="F86" s="22" t="n">
        <f aca="false">J86*H86/J84</f>
        <v>23.5330836454432</v>
      </c>
      <c r="G86" s="22" t="n">
        <f aca="false">L86*H86/L84</f>
        <v>0.161762777073406</v>
      </c>
      <c r="H86" s="22" t="n">
        <f aca="false">100-H85</f>
        <v>1.68539325842697</v>
      </c>
      <c r="I86" s="3" t="s">
        <v>275</v>
      </c>
      <c r="J86" s="21" t="n">
        <v>37.7</v>
      </c>
      <c r="K86" s="21" t="n">
        <v>8.9</v>
      </c>
      <c r="L86" s="21" t="n">
        <v>0.074</v>
      </c>
    </row>
    <row r="87" customFormat="false" ht="15" hidden="false" customHeight="false" outlineLevel="0" collapsed="false">
      <c r="A87" s="0" t="s">
        <v>276</v>
      </c>
      <c r="B87" s="0" t="s">
        <v>153</v>
      </c>
      <c r="C87" s="0" t="s">
        <v>61</v>
      </c>
      <c r="D87" s="0" t="s">
        <v>62</v>
      </c>
      <c r="E87" s="0" t="n">
        <v>1</v>
      </c>
      <c r="I87" s="0" t="s">
        <v>277</v>
      </c>
      <c r="J87" s="0" t="n">
        <v>7.98</v>
      </c>
      <c r="L87" s="0" t="n">
        <v>1.7</v>
      </c>
    </row>
    <row r="88" customFormat="false" ht="15" hidden="false" customHeight="false" outlineLevel="0" collapsed="false">
      <c r="A88" s="0" t="s">
        <v>276</v>
      </c>
      <c r="B88" s="0" t="s">
        <v>153</v>
      </c>
      <c r="C88" s="0" t="s">
        <v>61</v>
      </c>
      <c r="D88" s="0" t="s">
        <v>70</v>
      </c>
      <c r="E88" s="0" t="n">
        <v>1</v>
      </c>
      <c r="F88" s="0" t="n">
        <v>46</v>
      </c>
      <c r="G88" s="0" t="n">
        <v>86</v>
      </c>
      <c r="H88" s="0" t="n">
        <v>87</v>
      </c>
      <c r="I88" s="0" t="s">
        <v>277</v>
      </c>
      <c r="J88" s="0" t="n">
        <v>4.25</v>
      </c>
      <c r="L88" s="0" t="n">
        <v>1.68</v>
      </c>
    </row>
    <row r="89" customFormat="false" ht="15" hidden="false" customHeight="false" outlineLevel="0" collapsed="false">
      <c r="A89" s="0" t="s">
        <v>276</v>
      </c>
      <c r="B89" s="0" t="s">
        <v>153</v>
      </c>
      <c r="C89" s="0" t="s">
        <v>61</v>
      </c>
      <c r="D89" s="0" t="s">
        <v>71</v>
      </c>
      <c r="E89" s="0" t="n">
        <v>1</v>
      </c>
      <c r="F89" s="0" t="n">
        <v>54</v>
      </c>
      <c r="G89" s="0" t="n">
        <v>15</v>
      </c>
      <c r="H89" s="0" t="n">
        <v>13</v>
      </c>
      <c r="I89" s="0" t="s">
        <v>277</v>
      </c>
      <c r="J89" s="0" t="n">
        <v>32.8</v>
      </c>
      <c r="L89" s="0" t="n">
        <v>1.9</v>
      </c>
    </row>
    <row r="90" customFormat="false" ht="15" hidden="false" customHeight="false" outlineLevel="0" collapsed="false">
      <c r="A90" s="0" t="s">
        <v>276</v>
      </c>
      <c r="B90" s="0" t="s">
        <v>153</v>
      </c>
      <c r="C90" s="0" t="s">
        <v>61</v>
      </c>
      <c r="D90" s="0" t="s">
        <v>62</v>
      </c>
      <c r="E90" s="0" t="n">
        <v>2</v>
      </c>
      <c r="I90" s="0" t="s">
        <v>278</v>
      </c>
      <c r="J90" s="0" t="n">
        <v>7.98</v>
      </c>
      <c r="L90" s="0" t="n">
        <v>1.7</v>
      </c>
    </row>
    <row r="91" customFormat="false" ht="15" hidden="false" customHeight="false" outlineLevel="0" collapsed="false">
      <c r="A91" s="0" t="s">
        <v>276</v>
      </c>
      <c r="B91" s="0" t="s">
        <v>153</v>
      </c>
      <c r="C91" s="0" t="s">
        <v>61</v>
      </c>
      <c r="D91" s="0" t="s">
        <v>70</v>
      </c>
      <c r="E91" s="0" t="n">
        <v>2</v>
      </c>
      <c r="F91" s="0" t="n">
        <v>56</v>
      </c>
      <c r="G91" s="0" t="n">
        <v>84</v>
      </c>
      <c r="H91" s="0" t="n">
        <v>90</v>
      </c>
      <c r="I91" s="0" t="s">
        <v>278</v>
      </c>
      <c r="J91" s="0" t="n">
        <v>4.97</v>
      </c>
      <c r="L91" s="0" t="n">
        <v>1.6</v>
      </c>
    </row>
    <row r="92" customFormat="false" ht="15" hidden="false" customHeight="false" outlineLevel="0" collapsed="false">
      <c r="A92" s="0" t="s">
        <v>276</v>
      </c>
      <c r="B92" s="0" t="s">
        <v>153</v>
      </c>
      <c r="C92" s="0" t="s">
        <v>61</v>
      </c>
      <c r="D92" s="0" t="s">
        <v>71</v>
      </c>
      <c r="E92" s="0" t="n">
        <v>2</v>
      </c>
      <c r="F92" s="0" t="n">
        <v>44</v>
      </c>
      <c r="G92" s="0" t="n">
        <v>12</v>
      </c>
      <c r="H92" s="0" t="n">
        <v>10</v>
      </c>
      <c r="I92" s="0" t="s">
        <v>278</v>
      </c>
      <c r="J92" s="0" t="n">
        <v>33.8</v>
      </c>
      <c r="L92" s="0" t="n">
        <v>1.9</v>
      </c>
    </row>
    <row r="93" customFormat="false" ht="15" hidden="false" customHeight="false" outlineLevel="0" collapsed="false">
      <c r="A93" s="0" t="s">
        <v>276</v>
      </c>
      <c r="B93" s="0" t="s">
        <v>153</v>
      </c>
      <c r="C93" s="0" t="s">
        <v>61</v>
      </c>
      <c r="D93" s="0" t="s">
        <v>62</v>
      </c>
      <c r="E93" s="0" t="n">
        <v>3</v>
      </c>
      <c r="I93" s="0" t="s">
        <v>279</v>
      </c>
      <c r="J93" s="0" t="n">
        <v>7.98</v>
      </c>
      <c r="L93" s="0" t="n">
        <v>1.7</v>
      </c>
    </row>
    <row r="94" customFormat="false" ht="15" hidden="false" customHeight="false" outlineLevel="0" collapsed="false">
      <c r="A94" s="0" t="s">
        <v>276</v>
      </c>
      <c r="B94" s="0" t="s">
        <v>153</v>
      </c>
      <c r="C94" s="0" t="s">
        <v>61</v>
      </c>
      <c r="D94" s="0" t="s">
        <v>70</v>
      </c>
      <c r="E94" s="0" t="n">
        <v>3</v>
      </c>
      <c r="F94" s="0" t="n">
        <v>53</v>
      </c>
      <c r="G94" s="0" t="n">
        <v>89</v>
      </c>
      <c r="H94" s="0" t="n">
        <v>87</v>
      </c>
      <c r="I94" s="0" t="s">
        <v>279</v>
      </c>
      <c r="J94" s="0" t="n">
        <v>4.89</v>
      </c>
      <c r="L94" s="0" t="n">
        <v>1.74</v>
      </c>
    </row>
    <row r="95" customFormat="false" ht="15" hidden="false" customHeight="false" outlineLevel="0" collapsed="false">
      <c r="A95" s="0" t="s">
        <v>276</v>
      </c>
      <c r="B95" s="0" t="s">
        <v>153</v>
      </c>
      <c r="C95" s="0" t="s">
        <v>61</v>
      </c>
      <c r="D95" s="0" t="s">
        <v>71</v>
      </c>
      <c r="E95" s="0" t="n">
        <v>3</v>
      </c>
      <c r="F95" s="0" t="n">
        <v>47</v>
      </c>
      <c r="G95" s="0" t="n">
        <v>14</v>
      </c>
      <c r="H95" s="0" t="n">
        <v>13</v>
      </c>
      <c r="I95" s="0" t="s">
        <v>279</v>
      </c>
      <c r="J95" s="0" t="n">
        <v>28.7</v>
      </c>
      <c r="L95" s="0" t="n">
        <v>1.85</v>
      </c>
    </row>
    <row r="96" customFormat="false" ht="15" hidden="false" customHeight="false" outlineLevel="0" collapsed="false">
      <c r="A96" s="0" t="s">
        <v>276</v>
      </c>
      <c r="B96" s="0" t="s">
        <v>153</v>
      </c>
      <c r="C96" s="0" t="s">
        <v>61</v>
      </c>
      <c r="D96" s="0" t="s">
        <v>62</v>
      </c>
      <c r="E96" s="0" t="n">
        <v>4</v>
      </c>
      <c r="I96" s="0" t="s">
        <v>280</v>
      </c>
      <c r="J96" s="0" t="n">
        <v>7.98</v>
      </c>
      <c r="L96" s="0" t="n">
        <v>1.7</v>
      </c>
    </row>
    <row r="97" customFormat="false" ht="15" hidden="false" customHeight="false" outlineLevel="0" collapsed="false">
      <c r="A97" s="0" t="s">
        <v>276</v>
      </c>
      <c r="B97" s="0" t="s">
        <v>153</v>
      </c>
      <c r="C97" s="0" t="s">
        <v>61</v>
      </c>
      <c r="D97" s="0" t="s">
        <v>70</v>
      </c>
      <c r="E97" s="0" t="n">
        <v>4</v>
      </c>
      <c r="F97" s="0" t="n">
        <v>53</v>
      </c>
      <c r="G97" s="0" t="n">
        <v>90</v>
      </c>
      <c r="H97" s="0" t="n">
        <v>83</v>
      </c>
      <c r="I97" s="0" t="s">
        <v>280</v>
      </c>
      <c r="J97" s="0" t="n">
        <v>5.04</v>
      </c>
      <c r="L97" s="0" t="n">
        <v>1.84</v>
      </c>
    </row>
    <row r="98" customFormat="false" ht="15" hidden="false" customHeight="false" outlineLevel="0" collapsed="false">
      <c r="A98" s="0" t="s">
        <v>276</v>
      </c>
      <c r="B98" s="0" t="s">
        <v>153</v>
      </c>
      <c r="C98" s="0" t="s">
        <v>61</v>
      </c>
      <c r="D98" s="0" t="s">
        <v>71</v>
      </c>
      <c r="E98" s="0" t="n">
        <v>4</v>
      </c>
      <c r="F98" s="0" t="n">
        <v>47</v>
      </c>
      <c r="G98" s="0" t="n">
        <v>19</v>
      </c>
      <c r="H98" s="0" t="n">
        <v>17</v>
      </c>
      <c r="I98" s="0" t="s">
        <v>280</v>
      </c>
      <c r="J98" s="0" t="n">
        <v>22.8</v>
      </c>
      <c r="L98" s="0" t="n">
        <v>1.9</v>
      </c>
    </row>
    <row r="99" customFormat="false" ht="15" hidden="false" customHeight="false" outlineLevel="0" collapsed="false">
      <c r="A99" s="0" t="s">
        <v>281</v>
      </c>
      <c r="B99" s="0" t="s">
        <v>153</v>
      </c>
      <c r="C99" s="0" t="s">
        <v>140</v>
      </c>
      <c r="D99" s="0" t="s">
        <v>62</v>
      </c>
      <c r="E99" s="0" t="n">
        <v>1</v>
      </c>
      <c r="J99" s="0" t="n">
        <v>6.9</v>
      </c>
      <c r="L99" s="0" t="n">
        <v>3.4</v>
      </c>
      <c r="M99" s="0" t="s">
        <v>282</v>
      </c>
    </row>
    <row r="100" customFormat="false" ht="15" hidden="false" customHeight="false" outlineLevel="0" collapsed="false">
      <c r="A100" s="0" t="s">
        <v>281</v>
      </c>
      <c r="B100" s="0" t="s">
        <v>153</v>
      </c>
      <c r="C100" s="0" t="s">
        <v>140</v>
      </c>
      <c r="D100" s="0" t="s">
        <v>70</v>
      </c>
      <c r="E100" s="0" t="n">
        <v>1</v>
      </c>
      <c r="F100" s="22" t="n">
        <f aca="false">J100*H100/J99</f>
        <v>71.4681789540013</v>
      </c>
      <c r="G100" s="22" t="n">
        <f aca="false">L100*H100/L99</f>
        <v>90.306905370844</v>
      </c>
      <c r="H100" s="22" t="n">
        <f aca="false">(J99-J101)/(J100-J101)*100</f>
        <v>93.0434782608696</v>
      </c>
      <c r="J100" s="0" t="n">
        <v>5.3</v>
      </c>
      <c r="L100" s="0" t="n">
        <v>3.3</v>
      </c>
      <c r="M100" s="0" t="s">
        <v>282</v>
      </c>
    </row>
    <row r="101" customFormat="false" ht="15" hidden="false" customHeight="false" outlineLevel="0" collapsed="false">
      <c r="A101" s="0" t="s">
        <v>281</v>
      </c>
      <c r="B101" s="0" t="s">
        <v>153</v>
      </c>
      <c r="C101" s="0" t="s">
        <v>140</v>
      </c>
      <c r="D101" s="0" t="s">
        <v>71</v>
      </c>
      <c r="E101" s="0" t="n">
        <v>1</v>
      </c>
      <c r="F101" s="22" t="n">
        <f aca="false">J101*H101/J99</f>
        <v>28.5318210459987</v>
      </c>
      <c r="G101" s="22" t="n">
        <f aca="false">L101*H101/L99</f>
        <v>6.75191815856778</v>
      </c>
      <c r="H101" s="22" t="n">
        <f aca="false">100-H100</f>
        <v>6.95652173913044</v>
      </c>
      <c r="J101" s="0" t="n">
        <v>28.3</v>
      </c>
      <c r="L101" s="0" t="n">
        <v>3.3</v>
      </c>
      <c r="M101" s="0" t="s">
        <v>282</v>
      </c>
    </row>
    <row r="102" customFormat="false" ht="15" hidden="false" customHeight="false" outlineLevel="0" collapsed="false">
      <c r="A102" s="0" t="s">
        <v>283</v>
      </c>
      <c r="B102" s="0" t="s">
        <v>153</v>
      </c>
      <c r="C102" s="0" t="s">
        <v>61</v>
      </c>
      <c r="D102" s="0" t="s">
        <v>62</v>
      </c>
      <c r="E102" s="0" t="n">
        <v>2</v>
      </c>
      <c r="J102" s="0" t="n">
        <v>7.1</v>
      </c>
      <c r="K102" s="0" t="n">
        <v>7.2</v>
      </c>
    </row>
    <row r="103" customFormat="false" ht="15" hidden="false" customHeight="false" outlineLevel="0" collapsed="false">
      <c r="A103" s="0" t="s">
        <v>283</v>
      </c>
      <c r="B103" s="0" t="s">
        <v>153</v>
      </c>
      <c r="C103" s="0" t="s">
        <v>61</v>
      </c>
      <c r="D103" s="0" t="s">
        <v>70</v>
      </c>
      <c r="E103" s="0" t="n">
        <v>2</v>
      </c>
      <c r="F103" s="22" t="n">
        <f aca="false">J103*H103/J102</f>
        <v>57.3802816901409</v>
      </c>
      <c r="H103" s="24" t="n">
        <f aca="false">100-H104</f>
        <v>97</v>
      </c>
      <c r="J103" s="0" t="n">
        <v>4.2</v>
      </c>
    </row>
    <row r="104" customFormat="false" ht="15" hidden="false" customHeight="false" outlineLevel="0" collapsed="false">
      <c r="A104" s="0" t="s">
        <v>283</v>
      </c>
      <c r="B104" s="0" t="s">
        <v>153</v>
      </c>
      <c r="C104" s="0" t="s">
        <v>61</v>
      </c>
      <c r="D104" s="0" t="s">
        <v>71</v>
      </c>
      <c r="E104" s="0" t="n">
        <v>2</v>
      </c>
      <c r="F104" s="22" t="n">
        <f aca="false">J104*H104/J102</f>
        <v>13.6478873239437</v>
      </c>
      <c r="H104" s="0" t="n">
        <v>3</v>
      </c>
      <c r="I104" s="0" t="s">
        <v>84</v>
      </c>
      <c r="J104" s="0" t="n">
        <v>32.3</v>
      </c>
    </row>
    <row r="105" customFormat="false" ht="15" hidden="false" customHeight="false" outlineLevel="0" collapsed="false">
      <c r="A105" s="0" t="s">
        <v>283</v>
      </c>
      <c r="B105" s="0" t="s">
        <v>153</v>
      </c>
      <c r="C105" s="0" t="s">
        <v>61</v>
      </c>
      <c r="D105" s="0" t="s">
        <v>62</v>
      </c>
      <c r="E105" s="0" t="n">
        <v>3</v>
      </c>
      <c r="J105" s="0" t="n">
        <v>7.1</v>
      </c>
      <c r="K105" s="0" t="n">
        <v>7.2</v>
      </c>
    </row>
    <row r="106" customFormat="false" ht="15" hidden="false" customHeight="false" outlineLevel="0" collapsed="false">
      <c r="A106" s="0" t="s">
        <v>283</v>
      </c>
      <c r="B106" s="0" t="s">
        <v>153</v>
      </c>
      <c r="C106" s="0" t="s">
        <v>61</v>
      </c>
      <c r="D106" s="0" t="s">
        <v>70</v>
      </c>
      <c r="E106" s="0" t="n">
        <v>3</v>
      </c>
      <c r="F106" s="22" t="n">
        <f aca="false">J106*H106/J105</f>
        <v>40.4366197183099</v>
      </c>
      <c r="H106" s="24" t="n">
        <f aca="false">100-H107</f>
        <v>87</v>
      </c>
      <c r="J106" s="0" t="n">
        <v>3.3</v>
      </c>
    </row>
    <row r="107" customFormat="false" ht="15" hidden="false" customHeight="false" outlineLevel="0" collapsed="false">
      <c r="A107" s="0" t="s">
        <v>283</v>
      </c>
      <c r="B107" s="0" t="s">
        <v>153</v>
      </c>
      <c r="C107" s="0" t="s">
        <v>61</v>
      </c>
      <c r="D107" s="0" t="s">
        <v>71</v>
      </c>
      <c r="E107" s="0" t="n">
        <v>3</v>
      </c>
      <c r="F107" s="22" t="n">
        <f aca="false">J107*H107/J105</f>
        <v>39.5492957746479</v>
      </c>
      <c r="H107" s="0" t="n">
        <v>13</v>
      </c>
      <c r="I107" s="0" t="s">
        <v>84</v>
      </c>
      <c r="J107" s="0" t="n">
        <v>21.6</v>
      </c>
    </row>
    <row r="108" customFormat="false" ht="15" hidden="false" customHeight="false" outlineLevel="0" collapsed="false">
      <c r="A108" s="0" t="s">
        <v>283</v>
      </c>
      <c r="B108" s="0" t="s">
        <v>153</v>
      </c>
      <c r="C108" s="0" t="s">
        <v>77</v>
      </c>
      <c r="D108" s="0" t="s">
        <v>62</v>
      </c>
      <c r="E108" s="0" t="n">
        <v>7</v>
      </c>
      <c r="J108" s="0" t="n">
        <v>5.7</v>
      </c>
      <c r="K108" s="0" t="n">
        <v>7.2</v>
      </c>
    </row>
    <row r="109" customFormat="false" ht="15" hidden="false" customHeight="false" outlineLevel="0" collapsed="false">
      <c r="A109" s="0" t="s">
        <v>283</v>
      </c>
      <c r="B109" s="0" t="s">
        <v>153</v>
      </c>
      <c r="C109" s="0" t="s">
        <v>77</v>
      </c>
      <c r="D109" s="0" t="s">
        <v>70</v>
      </c>
      <c r="E109" s="0" t="n">
        <v>7</v>
      </c>
      <c r="F109" s="22" t="n">
        <f aca="false">J109*H109/J108</f>
        <v>53.3333333333333</v>
      </c>
      <c r="H109" s="24" t="n">
        <f aca="false">100-H110</f>
        <v>95</v>
      </c>
      <c r="J109" s="0" t="n">
        <v>3.2</v>
      </c>
    </row>
    <row r="110" customFormat="false" ht="15" hidden="false" customHeight="false" outlineLevel="0" collapsed="false">
      <c r="A110" s="0" t="s">
        <v>283</v>
      </c>
      <c r="B110" s="0" t="s">
        <v>153</v>
      </c>
      <c r="C110" s="0" t="s">
        <v>77</v>
      </c>
      <c r="D110" s="0" t="s">
        <v>71</v>
      </c>
      <c r="E110" s="0" t="n">
        <v>7</v>
      </c>
      <c r="F110" s="22" t="n">
        <f aca="false">J110*H110/J108</f>
        <v>27.8070175438596</v>
      </c>
      <c r="H110" s="0" t="n">
        <v>5</v>
      </c>
      <c r="I110" s="0" t="s">
        <v>84</v>
      </c>
      <c r="J110" s="0" t="n">
        <v>31.7</v>
      </c>
    </row>
    <row r="111" customFormat="false" ht="15" hidden="false" customHeight="false" outlineLevel="0" collapsed="false">
      <c r="A111" s="0" t="s">
        <v>283</v>
      </c>
      <c r="B111" s="0" t="s">
        <v>153</v>
      </c>
      <c r="C111" s="0" t="s">
        <v>77</v>
      </c>
      <c r="D111" s="0" t="s">
        <v>62</v>
      </c>
      <c r="E111" s="0" t="n">
        <v>8</v>
      </c>
      <c r="J111" s="0" t="n">
        <v>5.7</v>
      </c>
      <c r="K111" s="0" t="n">
        <v>7.2</v>
      </c>
    </row>
    <row r="112" customFormat="false" ht="15" hidden="false" customHeight="false" outlineLevel="0" collapsed="false">
      <c r="A112" s="0" t="s">
        <v>283</v>
      </c>
      <c r="B112" s="0" t="s">
        <v>153</v>
      </c>
      <c r="C112" s="0" t="s">
        <v>77</v>
      </c>
      <c r="D112" s="0" t="s">
        <v>70</v>
      </c>
      <c r="E112" s="0" t="n">
        <v>8</v>
      </c>
      <c r="F112" s="22" t="n">
        <f aca="false">J112*H112/J111</f>
        <v>52.0421052631579</v>
      </c>
      <c r="H112" s="24" t="n">
        <f aca="false">100-H113</f>
        <v>92.7</v>
      </c>
      <c r="J112" s="0" t="n">
        <v>3.2</v>
      </c>
    </row>
    <row r="113" customFormat="false" ht="15" hidden="false" customHeight="false" outlineLevel="0" collapsed="false">
      <c r="A113" s="0" t="s">
        <v>283</v>
      </c>
      <c r="B113" s="0" t="s">
        <v>153</v>
      </c>
      <c r="C113" s="0" t="s">
        <v>77</v>
      </c>
      <c r="D113" s="0" t="s">
        <v>71</v>
      </c>
      <c r="E113" s="0" t="n">
        <v>8</v>
      </c>
      <c r="F113" s="22" t="n">
        <f aca="false">J113*H113/J111</f>
        <v>28.0473684210526</v>
      </c>
      <c r="H113" s="0" t="n">
        <v>7.3</v>
      </c>
      <c r="I113" s="0" t="s">
        <v>84</v>
      </c>
      <c r="J113" s="0" t="n">
        <v>21.9</v>
      </c>
    </row>
    <row r="114" customFormat="false" ht="15" hidden="false" customHeight="false" outlineLevel="0" collapsed="false">
      <c r="A114" s="0" t="s">
        <v>284</v>
      </c>
      <c r="B114" s="0" t="s">
        <v>120</v>
      </c>
      <c r="C114" s="0" t="s">
        <v>77</v>
      </c>
      <c r="D114" s="0" t="s">
        <v>62</v>
      </c>
      <c r="E114" s="0" t="n">
        <v>1</v>
      </c>
      <c r="J114" s="0" t="n">
        <v>5.32</v>
      </c>
      <c r="K114" s="0" t="n">
        <v>7.5</v>
      </c>
      <c r="L114" s="0" t="n">
        <v>3.6</v>
      </c>
      <c r="M114" s="0" t="s">
        <v>285</v>
      </c>
    </row>
    <row r="115" customFormat="false" ht="15" hidden="false" customHeight="false" outlineLevel="0" collapsed="false">
      <c r="A115" s="0" t="s">
        <v>284</v>
      </c>
      <c r="B115" s="0" t="s">
        <v>120</v>
      </c>
      <c r="C115" s="0" t="s">
        <v>77</v>
      </c>
      <c r="D115" s="0" t="s">
        <v>70</v>
      </c>
      <c r="E115" s="0" t="n">
        <v>1</v>
      </c>
      <c r="F115" s="22" t="n">
        <f aca="false">J115*H115/J114</f>
        <v>45.2468045112782</v>
      </c>
      <c r="H115" s="24" t="n">
        <f aca="false">100-H116</f>
        <v>86.9</v>
      </c>
      <c r="J115" s="0" t="n">
        <v>2.77</v>
      </c>
      <c r="M115" s="0" t="s">
        <v>285</v>
      </c>
    </row>
    <row r="116" customFormat="false" ht="15" hidden="false" customHeight="false" outlineLevel="0" collapsed="false">
      <c r="A116" s="0" t="s">
        <v>284</v>
      </c>
      <c r="B116" s="0" t="s">
        <v>120</v>
      </c>
      <c r="C116" s="0" t="s">
        <v>77</v>
      </c>
      <c r="D116" s="0" t="s">
        <v>71</v>
      </c>
      <c r="E116" s="0" t="n">
        <v>1</v>
      </c>
      <c r="F116" s="22" t="n">
        <f aca="false">J116*H116/J114</f>
        <v>60.4766917293233</v>
      </c>
      <c r="H116" s="0" t="n">
        <v>13.1</v>
      </c>
      <c r="J116" s="0" t="n">
        <v>24.56</v>
      </c>
      <c r="M116" s="0" t="s">
        <v>285</v>
      </c>
    </row>
    <row r="117" customFormat="false" ht="15" hidden="false" customHeight="false" outlineLevel="0" collapsed="false">
      <c r="A117" s="0" t="s">
        <v>284</v>
      </c>
      <c r="B117" s="0" t="s">
        <v>120</v>
      </c>
      <c r="C117" s="0" t="s">
        <v>77</v>
      </c>
      <c r="D117" s="0" t="s">
        <v>62</v>
      </c>
      <c r="E117" s="0" t="n">
        <v>2</v>
      </c>
      <c r="J117" s="0" t="n">
        <v>4.79</v>
      </c>
      <c r="K117" s="0" t="n">
        <v>7.5</v>
      </c>
      <c r="L117" s="0" t="n">
        <v>3.5</v>
      </c>
      <c r="M117" s="0" t="s">
        <v>286</v>
      </c>
    </row>
    <row r="118" customFormat="false" ht="15" hidden="false" customHeight="false" outlineLevel="0" collapsed="false">
      <c r="A118" s="0" t="s">
        <v>284</v>
      </c>
      <c r="B118" s="0" t="s">
        <v>120</v>
      </c>
      <c r="C118" s="0" t="s">
        <v>77</v>
      </c>
      <c r="D118" s="0" t="s">
        <v>70</v>
      </c>
      <c r="E118" s="0" t="n">
        <v>2</v>
      </c>
      <c r="F118" s="22" t="n">
        <f aca="false">J118*H118/J117</f>
        <v>54.3809603340292</v>
      </c>
      <c r="H118" s="24" t="n">
        <f aca="false">100-H119</f>
        <v>91.72</v>
      </c>
      <c r="J118" s="0" t="n">
        <v>2.84</v>
      </c>
      <c r="M118" s="0" t="s">
        <v>286</v>
      </c>
    </row>
    <row r="119" customFormat="false" ht="15" hidden="false" customHeight="false" outlineLevel="0" collapsed="false">
      <c r="A119" s="0" t="s">
        <v>284</v>
      </c>
      <c r="B119" s="0" t="s">
        <v>120</v>
      </c>
      <c r="C119" s="0" t="s">
        <v>77</v>
      </c>
      <c r="D119" s="0" t="s">
        <v>71</v>
      </c>
      <c r="E119" s="0" t="n">
        <v>2</v>
      </c>
      <c r="F119" s="22" t="n">
        <f aca="false">J119*H119/J117</f>
        <v>48.2798329853862</v>
      </c>
      <c r="H119" s="0" t="n">
        <v>8.28</v>
      </c>
      <c r="J119" s="0" t="n">
        <v>27.93</v>
      </c>
      <c r="M119" s="0" t="s">
        <v>286</v>
      </c>
    </row>
    <row r="120" customFormat="false" ht="15" hidden="false" customHeight="false" outlineLevel="0" collapsed="false">
      <c r="A120" s="0" t="s">
        <v>284</v>
      </c>
      <c r="B120" s="0" t="s">
        <v>120</v>
      </c>
      <c r="C120" s="0" t="s">
        <v>77</v>
      </c>
      <c r="D120" s="0" t="s">
        <v>62</v>
      </c>
      <c r="E120" s="0" t="n">
        <v>3</v>
      </c>
      <c r="J120" s="0" t="n">
        <v>1.71</v>
      </c>
      <c r="K120" s="0" t="n">
        <v>7.2</v>
      </c>
      <c r="L120" s="0" t="n">
        <v>1.3</v>
      </c>
      <c r="M120" s="0" t="s">
        <v>287</v>
      </c>
    </row>
    <row r="121" customFormat="false" ht="15" hidden="false" customHeight="false" outlineLevel="0" collapsed="false">
      <c r="A121" s="0" t="s">
        <v>284</v>
      </c>
      <c r="B121" s="0" t="s">
        <v>120</v>
      </c>
      <c r="C121" s="0" t="s">
        <v>77</v>
      </c>
      <c r="D121" s="0" t="s">
        <v>70</v>
      </c>
      <c r="E121" s="0" t="n">
        <v>3</v>
      </c>
      <c r="F121" s="22" t="n">
        <f aca="false">J121*H121/J120</f>
        <v>76.6776023391813</v>
      </c>
      <c r="H121" s="24" t="n">
        <f aca="false">100-H122</f>
        <v>94.33</v>
      </c>
      <c r="J121" s="0" t="n">
        <v>1.39</v>
      </c>
      <c r="M121" s="0" t="s">
        <v>287</v>
      </c>
    </row>
    <row r="122" customFormat="false" ht="15" hidden="false" customHeight="false" outlineLevel="0" collapsed="false">
      <c r="A122" s="0" t="s">
        <v>284</v>
      </c>
      <c r="B122" s="0" t="s">
        <v>120</v>
      </c>
      <c r="C122" s="0" t="s">
        <v>77</v>
      </c>
      <c r="D122" s="0" t="s">
        <v>71</v>
      </c>
      <c r="E122" s="0" t="n">
        <v>3</v>
      </c>
      <c r="F122" s="22" t="n">
        <f aca="false">J122*H122/J120</f>
        <v>62.1047368421053</v>
      </c>
      <c r="H122" s="0" t="n">
        <v>5.67</v>
      </c>
      <c r="J122" s="0" t="n">
        <v>18.73</v>
      </c>
      <c r="M122" s="0" t="s">
        <v>287</v>
      </c>
    </row>
    <row r="123" customFormat="false" ht="15" hidden="false" customHeight="false" outlineLevel="0" collapsed="false">
      <c r="A123" s="0" t="s">
        <v>284</v>
      </c>
      <c r="B123" s="0" t="s">
        <v>120</v>
      </c>
      <c r="C123" s="0" t="s">
        <v>77</v>
      </c>
      <c r="D123" s="0" t="s">
        <v>62</v>
      </c>
      <c r="E123" s="0" t="n">
        <v>4</v>
      </c>
      <c r="J123" s="0" t="n">
        <v>2.55</v>
      </c>
      <c r="K123" s="0" t="n">
        <v>8.3</v>
      </c>
      <c r="L123" s="0" t="n">
        <v>3</v>
      </c>
      <c r="M123" s="0" t="s">
        <v>288</v>
      </c>
    </row>
    <row r="124" customFormat="false" ht="15" hidden="false" customHeight="false" outlineLevel="0" collapsed="false">
      <c r="A124" s="0" t="s">
        <v>284</v>
      </c>
      <c r="B124" s="0" t="s">
        <v>120</v>
      </c>
      <c r="C124" s="0" t="s">
        <v>77</v>
      </c>
      <c r="D124" s="0" t="s">
        <v>70</v>
      </c>
      <c r="E124" s="0" t="n">
        <v>4</v>
      </c>
      <c r="F124" s="22" t="n">
        <f aca="false">J124*H124/J123</f>
        <v>65.4088235294118</v>
      </c>
      <c r="H124" s="24" t="n">
        <f aca="false">100-H125</f>
        <v>95.31</v>
      </c>
      <c r="J124" s="0" t="n">
        <v>1.75</v>
      </c>
      <c r="M124" s="0" t="s">
        <v>288</v>
      </c>
    </row>
    <row r="125" customFormat="false" ht="15" hidden="false" customHeight="false" outlineLevel="0" collapsed="false">
      <c r="A125" s="0" t="s">
        <v>284</v>
      </c>
      <c r="B125" s="0" t="s">
        <v>120</v>
      </c>
      <c r="C125" s="0" t="s">
        <v>77</v>
      </c>
      <c r="D125" s="0" t="s">
        <v>71</v>
      </c>
      <c r="E125" s="0" t="n">
        <v>4</v>
      </c>
      <c r="F125" s="22" t="n">
        <f aca="false">J125*H125/J123</f>
        <v>32.7748235294118</v>
      </c>
      <c r="H125" s="0" t="n">
        <v>4.69</v>
      </c>
      <c r="J125" s="0" t="n">
        <v>17.82</v>
      </c>
      <c r="M125" s="0" t="s">
        <v>288</v>
      </c>
    </row>
    <row r="126" customFormat="false" ht="15" hidden="false" customHeight="false" outlineLevel="0" collapsed="false">
      <c r="A126" s="0" t="s">
        <v>284</v>
      </c>
      <c r="B126" s="0" t="s">
        <v>120</v>
      </c>
      <c r="C126" s="0" t="s">
        <v>61</v>
      </c>
      <c r="D126" s="0" t="s">
        <v>62</v>
      </c>
      <c r="E126" s="0" t="n">
        <v>5</v>
      </c>
      <c r="J126" s="0" t="n">
        <v>6.37</v>
      </c>
      <c r="K126" s="0" t="n">
        <v>7.4</v>
      </c>
      <c r="L126" s="0" t="n">
        <v>1.7</v>
      </c>
      <c r="M126" s="0" t="s">
        <v>289</v>
      </c>
    </row>
    <row r="127" customFormat="false" ht="15" hidden="false" customHeight="false" outlineLevel="0" collapsed="false">
      <c r="A127" s="0" t="s">
        <v>284</v>
      </c>
      <c r="B127" s="0" t="s">
        <v>120</v>
      </c>
      <c r="C127" s="0" t="s">
        <v>61</v>
      </c>
      <c r="D127" s="0" t="s">
        <v>70</v>
      </c>
      <c r="E127" s="0" t="n">
        <v>5</v>
      </c>
      <c r="F127" s="22" t="n">
        <f aca="false">J127*H127/J126</f>
        <v>37.5248037676609</v>
      </c>
      <c r="H127" s="24" t="n">
        <f aca="false">100-H128</f>
        <v>79.15</v>
      </c>
      <c r="J127" s="0" t="n">
        <v>3.02</v>
      </c>
      <c r="M127" s="0" t="s">
        <v>289</v>
      </c>
    </row>
    <row r="128" customFormat="false" ht="15" hidden="false" customHeight="false" outlineLevel="0" collapsed="false">
      <c r="A128" s="0" t="s">
        <v>284</v>
      </c>
      <c r="B128" s="0" t="s">
        <v>120</v>
      </c>
      <c r="C128" s="0" t="s">
        <v>61</v>
      </c>
      <c r="D128" s="0" t="s">
        <v>71</v>
      </c>
      <c r="E128" s="0" t="n">
        <v>5</v>
      </c>
      <c r="F128" s="22" t="n">
        <f aca="false">J128*H128/J126</f>
        <v>65.1685243328101</v>
      </c>
      <c r="H128" s="0" t="n">
        <v>20.85</v>
      </c>
      <c r="J128" s="0" t="n">
        <v>19.91</v>
      </c>
      <c r="M128" s="0" t="s">
        <v>289</v>
      </c>
    </row>
    <row r="129" customFormat="false" ht="15" hidden="false" customHeight="false" outlineLevel="0" collapsed="false">
      <c r="A129" s="0" t="s">
        <v>284</v>
      </c>
      <c r="B129" s="0" t="s">
        <v>120</v>
      </c>
      <c r="C129" s="0" t="s">
        <v>61</v>
      </c>
      <c r="D129" s="0" t="s">
        <v>62</v>
      </c>
      <c r="E129" s="0" t="n">
        <v>6</v>
      </c>
      <c r="J129" s="0" t="n">
        <v>5.48</v>
      </c>
      <c r="K129" s="0" t="n">
        <v>7.4</v>
      </c>
      <c r="L129" s="0" t="n">
        <v>1.6</v>
      </c>
      <c r="M129" s="0" t="s">
        <v>290</v>
      </c>
    </row>
    <row r="130" customFormat="false" ht="15" hidden="false" customHeight="false" outlineLevel="0" collapsed="false">
      <c r="A130" s="0" t="s">
        <v>284</v>
      </c>
      <c r="B130" s="0" t="s">
        <v>120</v>
      </c>
      <c r="C130" s="0" t="s">
        <v>61</v>
      </c>
      <c r="D130" s="0" t="s">
        <v>70</v>
      </c>
      <c r="E130" s="0" t="n">
        <v>6</v>
      </c>
      <c r="F130" s="22" t="n">
        <f aca="false">J130*H130/J129</f>
        <v>42.3740875912409</v>
      </c>
      <c r="H130" s="24" t="n">
        <f aca="false">100-H131</f>
        <v>84.44</v>
      </c>
      <c r="J130" s="0" t="n">
        <v>2.75</v>
      </c>
      <c r="M130" s="0" t="s">
        <v>290</v>
      </c>
    </row>
    <row r="131" customFormat="false" ht="15" hidden="false" customHeight="false" outlineLevel="0" collapsed="false">
      <c r="A131" s="0" t="s">
        <v>284</v>
      </c>
      <c r="B131" s="0" t="s">
        <v>120</v>
      </c>
      <c r="C131" s="0" t="s">
        <v>61</v>
      </c>
      <c r="D131" s="0" t="s">
        <v>71</v>
      </c>
      <c r="E131" s="0" t="n">
        <v>6</v>
      </c>
      <c r="F131" s="22" t="n">
        <f aca="false">J131*H131/J129</f>
        <v>59.0030656934307</v>
      </c>
      <c r="H131" s="0" t="n">
        <v>15.56</v>
      </c>
      <c r="J131" s="0" t="n">
        <v>20.78</v>
      </c>
      <c r="M131" s="0" t="s">
        <v>290</v>
      </c>
    </row>
    <row r="132" customFormat="false" ht="15" hidden="false" customHeight="false" outlineLevel="0" collapsed="false">
      <c r="A132" s="0" t="s">
        <v>284</v>
      </c>
      <c r="B132" s="0" t="s">
        <v>120</v>
      </c>
      <c r="C132" s="0" t="s">
        <v>61</v>
      </c>
      <c r="D132" s="0" t="s">
        <v>62</v>
      </c>
      <c r="E132" s="0" t="n">
        <v>7</v>
      </c>
      <c r="J132" s="0" t="n">
        <v>4.49</v>
      </c>
      <c r="K132" s="0" t="n">
        <v>7.9</v>
      </c>
      <c r="L132" s="0" t="n">
        <v>1.5</v>
      </c>
      <c r="M132" s="0" t="s">
        <v>291</v>
      </c>
    </row>
    <row r="133" customFormat="false" ht="15" hidden="false" customHeight="false" outlineLevel="0" collapsed="false">
      <c r="A133" s="0" t="s">
        <v>284</v>
      </c>
      <c r="B133" s="0" t="s">
        <v>120</v>
      </c>
      <c r="C133" s="0" t="s">
        <v>61</v>
      </c>
      <c r="D133" s="0" t="s">
        <v>70</v>
      </c>
      <c r="E133" s="0" t="n">
        <v>7</v>
      </c>
      <c r="F133" s="22" t="n">
        <f aca="false">J133*H133/J132</f>
        <v>48.4165256124722</v>
      </c>
      <c r="H133" s="24" t="n">
        <f aca="false">100-H134</f>
        <v>88.37</v>
      </c>
      <c r="J133" s="0" t="n">
        <v>2.46</v>
      </c>
      <c r="M133" s="0" t="s">
        <v>291</v>
      </c>
    </row>
    <row r="134" customFormat="false" ht="15" hidden="false" customHeight="false" outlineLevel="0" collapsed="false">
      <c r="A134" s="0" t="s">
        <v>284</v>
      </c>
      <c r="B134" s="0" t="s">
        <v>120</v>
      </c>
      <c r="C134" s="0" t="s">
        <v>61</v>
      </c>
      <c r="D134" s="0" t="s">
        <v>71</v>
      </c>
      <c r="E134" s="0" t="n">
        <v>7</v>
      </c>
      <c r="F134" s="22" t="n">
        <f aca="false">J134*H134/J132</f>
        <v>55.0158574610245</v>
      </c>
      <c r="H134" s="0" t="n">
        <v>11.63</v>
      </c>
      <c r="J134" s="0" t="n">
        <v>21.24</v>
      </c>
      <c r="M134" s="0" t="s">
        <v>291</v>
      </c>
    </row>
    <row r="135" customFormat="false" ht="15" hidden="false" customHeight="false" outlineLevel="0" collapsed="false">
      <c r="A135" s="0" t="s">
        <v>284</v>
      </c>
      <c r="B135" s="0" t="s">
        <v>120</v>
      </c>
      <c r="C135" s="0" t="s">
        <v>140</v>
      </c>
      <c r="D135" s="0" t="s">
        <v>62</v>
      </c>
      <c r="E135" s="0" t="n">
        <v>8</v>
      </c>
      <c r="J135" s="0" t="n">
        <v>5.62</v>
      </c>
      <c r="K135" s="0" t="n">
        <v>8.3</v>
      </c>
      <c r="L135" s="0" t="n">
        <v>2.8</v>
      </c>
      <c r="M135" s="0" t="s">
        <v>292</v>
      </c>
    </row>
    <row r="136" customFormat="false" ht="15" hidden="false" customHeight="false" outlineLevel="0" collapsed="false">
      <c r="A136" s="0" t="s">
        <v>284</v>
      </c>
      <c r="B136" s="0" t="s">
        <v>120</v>
      </c>
      <c r="C136" s="0" t="s">
        <v>140</v>
      </c>
      <c r="D136" s="0" t="s">
        <v>70</v>
      </c>
      <c r="E136" s="0" t="n">
        <v>8</v>
      </c>
      <c r="F136" s="22" t="n">
        <f aca="false">J136*H136/J135</f>
        <v>34.2356583629893</v>
      </c>
      <c r="H136" s="24" t="n">
        <f aca="false">100-H137</f>
        <v>86.28</v>
      </c>
      <c r="J136" s="0" t="n">
        <v>2.23</v>
      </c>
      <c r="M136" s="0" t="s">
        <v>292</v>
      </c>
    </row>
    <row r="137" customFormat="false" ht="15" hidden="false" customHeight="false" outlineLevel="0" collapsed="false">
      <c r="A137" s="0" t="s">
        <v>284</v>
      </c>
      <c r="B137" s="0" t="s">
        <v>120</v>
      </c>
      <c r="C137" s="0" t="s">
        <v>140</v>
      </c>
      <c r="D137" s="0" t="s">
        <v>71</v>
      </c>
      <c r="E137" s="0" t="n">
        <v>8</v>
      </c>
      <c r="F137" s="22" t="n">
        <f aca="false">J137*H137/J135</f>
        <v>68.5511743772242</v>
      </c>
      <c r="H137" s="0" t="n">
        <v>13.72</v>
      </c>
      <c r="J137" s="0" t="n">
        <v>28.08</v>
      </c>
      <c r="M137" s="0" t="s">
        <v>292</v>
      </c>
    </row>
    <row r="138" customFormat="false" ht="15" hidden="false" customHeight="false" outlineLevel="0" collapsed="false">
      <c r="A138" s="0" t="s">
        <v>284</v>
      </c>
      <c r="B138" s="0" t="s">
        <v>120</v>
      </c>
      <c r="C138" s="0" t="s">
        <v>140</v>
      </c>
      <c r="D138" s="0" t="s">
        <v>62</v>
      </c>
      <c r="E138" s="0" t="n">
        <v>9</v>
      </c>
      <c r="J138" s="0" t="n">
        <v>6.53</v>
      </c>
      <c r="K138" s="0" t="n">
        <v>8.1</v>
      </c>
      <c r="L138" s="0" t="n">
        <v>4</v>
      </c>
      <c r="M138" s="0" t="s">
        <v>293</v>
      </c>
    </row>
    <row r="139" customFormat="false" ht="15" hidden="false" customHeight="false" outlineLevel="0" collapsed="false">
      <c r="A139" s="0" t="s">
        <v>284</v>
      </c>
      <c r="B139" s="0" t="s">
        <v>120</v>
      </c>
      <c r="C139" s="0" t="s">
        <v>140</v>
      </c>
      <c r="D139" s="0" t="s">
        <v>70</v>
      </c>
      <c r="E139" s="0" t="n">
        <v>9</v>
      </c>
      <c r="F139" s="22" t="n">
        <f aca="false">J139*H139/J138</f>
        <v>32.0936600306279</v>
      </c>
      <c r="H139" s="24" t="n">
        <f aca="false">100-H140</f>
        <v>85.89</v>
      </c>
      <c r="J139" s="0" t="n">
        <v>2.44</v>
      </c>
      <c r="M139" s="0" t="s">
        <v>293</v>
      </c>
    </row>
    <row r="140" customFormat="false" ht="15" hidden="false" customHeight="false" outlineLevel="0" collapsed="false">
      <c r="A140" s="0" t="s">
        <v>284</v>
      </c>
      <c r="B140" s="0" t="s">
        <v>120</v>
      </c>
      <c r="C140" s="0" t="s">
        <v>140</v>
      </c>
      <c r="D140" s="0" t="s">
        <v>71</v>
      </c>
      <c r="E140" s="0" t="n">
        <v>9</v>
      </c>
      <c r="F140" s="22" t="n">
        <f aca="false">J140*H140/J138</f>
        <v>54.6033231240429</v>
      </c>
      <c r="H140" s="0" t="n">
        <v>14.11</v>
      </c>
      <c r="J140" s="0" t="n">
        <v>25.27</v>
      </c>
      <c r="M140" s="0" t="s">
        <v>293</v>
      </c>
    </row>
    <row r="141" customFormat="false" ht="15" hidden="false" customHeight="false" outlineLevel="0" collapsed="false">
      <c r="A141" s="0" t="s">
        <v>284</v>
      </c>
      <c r="B141" s="0" t="s">
        <v>120</v>
      </c>
      <c r="C141" s="0" t="s">
        <v>140</v>
      </c>
      <c r="D141" s="0" t="s">
        <v>62</v>
      </c>
      <c r="E141" s="0" t="n">
        <v>10</v>
      </c>
      <c r="J141" s="0" t="n">
        <v>3.55</v>
      </c>
      <c r="K141" s="0" t="n">
        <v>8.1</v>
      </c>
      <c r="L141" s="0" t="n">
        <v>3.1</v>
      </c>
      <c r="M141" s="0" t="s">
        <v>294</v>
      </c>
    </row>
    <row r="142" customFormat="false" ht="15" hidden="false" customHeight="false" outlineLevel="0" collapsed="false">
      <c r="A142" s="0" t="s">
        <v>284</v>
      </c>
      <c r="B142" s="0" t="s">
        <v>120</v>
      </c>
      <c r="C142" s="0" t="s">
        <v>140</v>
      </c>
      <c r="D142" s="0" t="s">
        <v>70</v>
      </c>
      <c r="E142" s="0" t="n">
        <v>10</v>
      </c>
      <c r="F142" s="22" t="n">
        <f aca="false">J142*H142/J141</f>
        <v>50.3416338028169</v>
      </c>
      <c r="H142" s="24" t="n">
        <f aca="false">100-H143</f>
        <v>91.18</v>
      </c>
      <c r="J142" s="0" t="n">
        <v>1.96</v>
      </c>
      <c r="M142" s="0" t="s">
        <v>294</v>
      </c>
    </row>
    <row r="143" customFormat="false" ht="15" hidden="false" customHeight="false" outlineLevel="0" collapsed="false">
      <c r="A143" s="0" t="s">
        <v>284</v>
      </c>
      <c r="B143" s="0" t="s">
        <v>120</v>
      </c>
      <c r="C143" s="0" t="s">
        <v>140</v>
      </c>
      <c r="D143" s="0" t="s">
        <v>71</v>
      </c>
      <c r="E143" s="0" t="n">
        <v>10</v>
      </c>
      <c r="F143" s="22" t="n">
        <f aca="false">J143*H143/J141</f>
        <v>74.5103661971831</v>
      </c>
      <c r="H143" s="0" t="n">
        <v>8.82</v>
      </c>
      <c r="J143" s="0" t="n">
        <v>29.99</v>
      </c>
      <c r="M143" s="0" t="s">
        <v>294</v>
      </c>
    </row>
    <row r="144" customFormat="false" ht="15" hidden="false" customHeight="false" outlineLevel="0" collapsed="false">
      <c r="A144" s="0" t="s">
        <v>284</v>
      </c>
      <c r="B144" s="0" t="s">
        <v>120</v>
      </c>
      <c r="C144" s="0" t="s">
        <v>140</v>
      </c>
      <c r="D144" s="0" t="s">
        <v>62</v>
      </c>
      <c r="E144" s="0" t="n">
        <v>11</v>
      </c>
      <c r="J144" s="0" t="n">
        <v>3.94</v>
      </c>
      <c r="K144" s="0" t="n">
        <v>8.2</v>
      </c>
      <c r="L144" s="0" t="n">
        <v>2.4</v>
      </c>
      <c r="M144" s="0" t="s">
        <v>295</v>
      </c>
    </row>
    <row r="145" customFormat="false" ht="15" hidden="false" customHeight="false" outlineLevel="0" collapsed="false">
      <c r="A145" s="0" t="s">
        <v>284</v>
      </c>
      <c r="B145" s="0" t="s">
        <v>120</v>
      </c>
      <c r="C145" s="0" t="s">
        <v>140</v>
      </c>
      <c r="D145" s="0" t="s">
        <v>70</v>
      </c>
      <c r="E145" s="0" t="n">
        <v>11</v>
      </c>
      <c r="F145" s="22" t="n">
        <f aca="false">J145*H145/J144</f>
        <v>52.5906091370558</v>
      </c>
      <c r="H145" s="24" t="n">
        <f aca="false">100-H146</f>
        <v>90.09</v>
      </c>
      <c r="J145" s="0" t="n">
        <v>2.3</v>
      </c>
      <c r="M145" s="0" t="s">
        <v>295</v>
      </c>
    </row>
    <row r="146" customFormat="false" ht="15" hidden="false" customHeight="false" outlineLevel="0" collapsed="false">
      <c r="A146" s="0" t="s">
        <v>284</v>
      </c>
      <c r="B146" s="0" t="s">
        <v>120</v>
      </c>
      <c r="C146" s="0" t="s">
        <v>140</v>
      </c>
      <c r="D146" s="0" t="s">
        <v>71</v>
      </c>
      <c r="E146" s="0" t="n">
        <v>11</v>
      </c>
      <c r="F146" s="22" t="n">
        <f aca="false">J146*H146/J144</f>
        <v>50.782461928934</v>
      </c>
      <c r="H146" s="0" t="n">
        <v>9.91</v>
      </c>
      <c r="J146" s="0" t="n">
        <v>20.19</v>
      </c>
      <c r="M146" s="0" t="s">
        <v>295</v>
      </c>
    </row>
    <row r="147" customFormat="false" ht="15" hidden="false" customHeight="false" outlineLevel="0" collapsed="false">
      <c r="A147" s="0" t="s">
        <v>284</v>
      </c>
      <c r="B147" s="0" t="s">
        <v>153</v>
      </c>
      <c r="C147" s="0" t="s">
        <v>77</v>
      </c>
      <c r="D147" s="0" t="s">
        <v>62</v>
      </c>
      <c r="E147" s="0" t="n">
        <v>12</v>
      </c>
      <c r="J147" s="0" t="n">
        <v>5.32</v>
      </c>
      <c r="K147" s="0" t="n">
        <v>7.5</v>
      </c>
      <c r="L147" s="0" t="n">
        <v>3.6</v>
      </c>
      <c r="M147" s="0" t="s">
        <v>285</v>
      </c>
    </row>
    <row r="148" customFormat="false" ht="15" hidden="false" customHeight="false" outlineLevel="0" collapsed="false">
      <c r="A148" s="0" t="s">
        <v>284</v>
      </c>
      <c r="B148" s="0" t="s">
        <v>153</v>
      </c>
      <c r="C148" s="0" t="s">
        <v>77</v>
      </c>
      <c r="D148" s="0" t="s">
        <v>70</v>
      </c>
      <c r="E148" s="0" t="n">
        <v>12</v>
      </c>
      <c r="F148" s="22" t="n">
        <f aca="false">J148*H148/J147</f>
        <v>76.5239661654135</v>
      </c>
      <c r="H148" s="24" t="n">
        <f aca="false">100-H149</f>
        <v>95.79</v>
      </c>
      <c r="J148" s="0" t="n">
        <v>4.25</v>
      </c>
      <c r="M148" s="0" t="s">
        <v>285</v>
      </c>
    </row>
    <row r="149" customFormat="false" ht="15" hidden="false" customHeight="false" outlineLevel="0" collapsed="false">
      <c r="A149" s="0" t="s">
        <v>284</v>
      </c>
      <c r="B149" s="0" t="s">
        <v>153</v>
      </c>
      <c r="C149" s="0" t="s">
        <v>77</v>
      </c>
      <c r="D149" s="0" t="s">
        <v>71</v>
      </c>
      <c r="E149" s="0" t="n">
        <v>12</v>
      </c>
      <c r="F149" s="22" t="n">
        <f aca="false">J149*H149/J147</f>
        <v>27.2542105263158</v>
      </c>
      <c r="H149" s="0" t="n">
        <v>4.21</v>
      </c>
      <c r="J149" s="0" t="n">
        <v>34.44</v>
      </c>
      <c r="M149" s="0" t="s">
        <v>285</v>
      </c>
    </row>
    <row r="150" customFormat="false" ht="15" hidden="false" customHeight="false" outlineLevel="0" collapsed="false">
      <c r="A150" s="0" t="s">
        <v>284</v>
      </c>
      <c r="B150" s="0" t="s">
        <v>153</v>
      </c>
      <c r="C150" s="0" t="s">
        <v>61</v>
      </c>
      <c r="D150" s="0" t="s">
        <v>62</v>
      </c>
      <c r="E150" s="0" t="n">
        <v>13</v>
      </c>
      <c r="J150" s="0" t="n">
        <v>6.37</v>
      </c>
      <c r="K150" s="0" t="n">
        <v>7.4</v>
      </c>
      <c r="L150" s="0" t="n">
        <v>1.7</v>
      </c>
      <c r="M150" s="0" t="s">
        <v>289</v>
      </c>
    </row>
    <row r="151" customFormat="false" ht="15" hidden="false" customHeight="false" outlineLevel="0" collapsed="false">
      <c r="A151" s="0" t="s">
        <v>284</v>
      </c>
      <c r="B151" s="0" t="s">
        <v>153</v>
      </c>
      <c r="C151" s="0" t="s">
        <v>61</v>
      </c>
      <c r="D151" s="0" t="s">
        <v>70</v>
      </c>
      <c r="E151" s="0" t="n">
        <v>13</v>
      </c>
      <c r="F151" s="22" t="n">
        <f aca="false">J151*H151/J150</f>
        <v>68.8830612244898</v>
      </c>
      <c r="H151" s="24" t="n">
        <f aca="false">100-H152</f>
        <v>94.77</v>
      </c>
      <c r="J151" s="0" t="n">
        <v>4.63</v>
      </c>
      <c r="M151" s="0" t="s">
        <v>289</v>
      </c>
    </row>
    <row r="152" customFormat="false" ht="15" hidden="false" customHeight="false" outlineLevel="0" collapsed="false">
      <c r="A152" s="0" t="s">
        <v>284</v>
      </c>
      <c r="B152" s="0" t="s">
        <v>153</v>
      </c>
      <c r="C152" s="0" t="s">
        <v>61</v>
      </c>
      <c r="D152" s="0" t="s">
        <v>71</v>
      </c>
      <c r="E152" s="0" t="n">
        <v>13</v>
      </c>
      <c r="F152" s="22" t="n">
        <f aca="false">J152*H152/J150</f>
        <v>29.9431868131868</v>
      </c>
      <c r="H152" s="0" t="n">
        <v>5.23</v>
      </c>
      <c r="J152" s="0" t="n">
        <v>36.47</v>
      </c>
      <c r="M152" s="0" t="s">
        <v>289</v>
      </c>
    </row>
    <row r="153" customFormat="false" ht="15" hidden="false" customHeight="false" outlineLevel="0" collapsed="false">
      <c r="A153" s="0" t="s">
        <v>284</v>
      </c>
      <c r="B153" s="0" t="s">
        <v>153</v>
      </c>
      <c r="C153" s="0" t="s">
        <v>61</v>
      </c>
      <c r="D153" s="0" t="s">
        <v>62</v>
      </c>
      <c r="E153" s="0" t="n">
        <v>14</v>
      </c>
      <c r="J153" s="0" t="n">
        <v>4.49</v>
      </c>
      <c r="K153" s="0" t="n">
        <v>7.9</v>
      </c>
      <c r="L153" s="0" t="n">
        <v>1.5</v>
      </c>
      <c r="M153" s="0" t="s">
        <v>291</v>
      </c>
    </row>
    <row r="154" customFormat="false" ht="15" hidden="false" customHeight="false" outlineLevel="0" collapsed="false">
      <c r="A154" s="0" t="s">
        <v>284</v>
      </c>
      <c r="B154" s="0" t="s">
        <v>153</v>
      </c>
      <c r="C154" s="0" t="s">
        <v>61</v>
      </c>
      <c r="D154" s="0" t="s">
        <v>70</v>
      </c>
      <c r="E154" s="0" t="n">
        <v>14</v>
      </c>
      <c r="F154" s="22" t="n">
        <f aca="false">J154*H154/J153</f>
        <v>87.6367928730512</v>
      </c>
      <c r="H154" s="24" t="n">
        <f aca="false">100-H155</f>
        <v>97.64</v>
      </c>
      <c r="J154" s="0" t="n">
        <v>4.03</v>
      </c>
      <c r="M154" s="0" t="s">
        <v>291</v>
      </c>
    </row>
    <row r="155" customFormat="false" ht="15" hidden="false" customHeight="false" outlineLevel="0" collapsed="false">
      <c r="A155" s="0" t="s">
        <v>284</v>
      </c>
      <c r="B155" s="0" t="s">
        <v>153</v>
      </c>
      <c r="C155" s="0" t="s">
        <v>61</v>
      </c>
      <c r="D155" s="0" t="s">
        <v>71</v>
      </c>
      <c r="E155" s="0" t="n">
        <v>14</v>
      </c>
      <c r="F155" s="22" t="n">
        <f aca="false">J155*H155/J153</f>
        <v>13.1245434298441</v>
      </c>
      <c r="H155" s="0" t="n">
        <v>2.36</v>
      </c>
      <c r="J155" s="0" t="n">
        <v>24.97</v>
      </c>
      <c r="M155" s="0" t="s">
        <v>291</v>
      </c>
    </row>
    <row r="156" customFormat="false" ht="15" hidden="false" customHeight="false" outlineLevel="0" collapsed="false">
      <c r="A156" s="0" t="s">
        <v>284</v>
      </c>
      <c r="B156" s="0" t="s">
        <v>153</v>
      </c>
      <c r="C156" s="0" t="s">
        <v>140</v>
      </c>
      <c r="D156" s="0" t="s">
        <v>62</v>
      </c>
      <c r="E156" s="0" t="n">
        <v>15</v>
      </c>
      <c r="J156" s="0" t="n">
        <v>5.62</v>
      </c>
      <c r="K156" s="0" t="n">
        <v>8.3</v>
      </c>
      <c r="L156" s="0" t="n">
        <v>2.8</v>
      </c>
      <c r="M156" s="0" t="s">
        <v>292</v>
      </c>
    </row>
    <row r="157" customFormat="false" ht="15" hidden="false" customHeight="false" outlineLevel="0" collapsed="false">
      <c r="A157" s="0" t="s">
        <v>284</v>
      </c>
      <c r="B157" s="0" t="s">
        <v>153</v>
      </c>
      <c r="C157" s="0" t="s">
        <v>140</v>
      </c>
      <c r="D157" s="0" t="s">
        <v>70</v>
      </c>
      <c r="E157" s="0" t="n">
        <v>15</v>
      </c>
      <c r="F157" s="22" t="n">
        <f aca="false">J157*H157/J156</f>
        <v>89.4776690391459</v>
      </c>
      <c r="H157" s="24" t="n">
        <f aca="false">100-H158</f>
        <v>96.15</v>
      </c>
      <c r="J157" s="0" t="n">
        <v>5.23</v>
      </c>
      <c r="M157" s="0" t="s">
        <v>292</v>
      </c>
    </row>
    <row r="158" customFormat="false" ht="15" hidden="false" customHeight="false" outlineLevel="0" collapsed="false">
      <c r="A158" s="0" t="s">
        <v>284</v>
      </c>
      <c r="B158" s="0" t="s">
        <v>153</v>
      </c>
      <c r="C158" s="0" t="s">
        <v>140</v>
      </c>
      <c r="D158" s="0" t="s">
        <v>71</v>
      </c>
      <c r="E158" s="0" t="n">
        <v>15</v>
      </c>
      <c r="F158" s="22" t="n">
        <f aca="false">J158*H158/J156</f>
        <v>18.3868327402135</v>
      </c>
      <c r="H158" s="0" t="n">
        <v>3.85</v>
      </c>
      <c r="J158" s="0" t="n">
        <v>26.84</v>
      </c>
      <c r="M158" s="0" t="s">
        <v>292</v>
      </c>
    </row>
    <row r="159" customFormat="false" ht="15" hidden="false" customHeight="false" outlineLevel="0" collapsed="false">
      <c r="A159" s="0" t="s">
        <v>284</v>
      </c>
      <c r="B159" s="0" t="s">
        <v>153</v>
      </c>
      <c r="C159" s="0" t="s">
        <v>140</v>
      </c>
      <c r="D159" s="0" t="s">
        <v>62</v>
      </c>
      <c r="E159" s="0" t="n">
        <v>16</v>
      </c>
      <c r="J159" s="0" t="n">
        <v>3.94</v>
      </c>
      <c r="K159" s="0" t="n">
        <v>8.2</v>
      </c>
      <c r="L159" s="0" t="n">
        <v>2.4</v>
      </c>
      <c r="M159" s="0" t="s">
        <v>295</v>
      </c>
    </row>
    <row r="160" customFormat="false" ht="15" hidden="false" customHeight="false" outlineLevel="0" collapsed="false">
      <c r="A160" s="0" t="s">
        <v>284</v>
      </c>
      <c r="B160" s="0" t="s">
        <v>153</v>
      </c>
      <c r="C160" s="0" t="s">
        <v>140</v>
      </c>
      <c r="D160" s="0" t="s">
        <v>70</v>
      </c>
      <c r="E160" s="0" t="n">
        <v>16</v>
      </c>
      <c r="F160" s="22" t="n">
        <f aca="false">J160*H160/J159</f>
        <v>72.7167512690355</v>
      </c>
      <c r="H160" s="24" t="n">
        <f aca="false">100-H161</f>
        <v>97.12</v>
      </c>
      <c r="J160" s="0" t="n">
        <v>2.95</v>
      </c>
      <c r="M160" s="0" t="s">
        <v>295</v>
      </c>
    </row>
    <row r="161" customFormat="false" ht="15" hidden="false" customHeight="false" outlineLevel="0" collapsed="false">
      <c r="A161" s="0" t="s">
        <v>284</v>
      </c>
      <c r="B161" s="0" t="s">
        <v>153</v>
      </c>
      <c r="C161" s="0" t="s">
        <v>140</v>
      </c>
      <c r="D161" s="0" t="s">
        <v>71</v>
      </c>
      <c r="E161" s="0" t="n">
        <v>16</v>
      </c>
      <c r="F161" s="22" t="n">
        <f aca="false">J161*H161/J159</f>
        <v>21.8119796954315</v>
      </c>
      <c r="H161" s="0" t="n">
        <v>2.88</v>
      </c>
      <c r="J161" s="0" t="n">
        <v>29.84</v>
      </c>
      <c r="M161" s="0" t="s">
        <v>295</v>
      </c>
    </row>
    <row r="162" customFormat="false" ht="15" hidden="false" customHeight="false" outlineLevel="0" collapsed="false">
      <c r="A162" s="0" t="s">
        <v>296</v>
      </c>
      <c r="B162" s="0" t="s">
        <v>120</v>
      </c>
      <c r="C162" s="0" t="s">
        <v>77</v>
      </c>
      <c r="D162" s="0" t="s">
        <v>62</v>
      </c>
      <c r="E162" s="0" t="n">
        <v>1</v>
      </c>
      <c r="J162" s="0" t="n">
        <v>5.1</v>
      </c>
      <c r="L162" s="0" t="n">
        <v>3.9</v>
      </c>
      <c r="M162" s="0" t="s">
        <v>297</v>
      </c>
    </row>
    <row r="163" customFormat="false" ht="15" hidden="false" customHeight="false" outlineLevel="0" collapsed="false">
      <c r="A163" s="0" t="s">
        <v>296</v>
      </c>
      <c r="B163" s="0" t="s">
        <v>120</v>
      </c>
      <c r="C163" s="0" t="s">
        <v>77</v>
      </c>
      <c r="D163" s="0" t="s">
        <v>70</v>
      </c>
      <c r="E163" s="0" t="n">
        <v>1</v>
      </c>
      <c r="F163" s="24" t="n">
        <f aca="false">100-F164</f>
        <v>48.9</v>
      </c>
      <c r="G163" s="24" t="n">
        <f aca="false">100-G164</f>
        <v>90.2</v>
      </c>
      <c r="H163" s="24" t="n">
        <f aca="false">100-H164</f>
        <v>90.8</v>
      </c>
      <c r="J163" s="0" t="n">
        <v>2.76</v>
      </c>
      <c r="L163" s="0" t="n">
        <v>3.8</v>
      </c>
      <c r="M163" s="0" t="s">
        <v>297</v>
      </c>
    </row>
    <row r="164" customFormat="false" ht="15" hidden="false" customHeight="false" outlineLevel="0" collapsed="false">
      <c r="A164" s="0" t="s">
        <v>296</v>
      </c>
      <c r="B164" s="0" t="s">
        <v>120</v>
      </c>
      <c r="C164" s="0" t="s">
        <v>77</v>
      </c>
      <c r="D164" s="0" t="s">
        <v>71</v>
      </c>
      <c r="E164" s="0" t="n">
        <v>1</v>
      </c>
      <c r="F164" s="0" t="n">
        <v>51.1</v>
      </c>
      <c r="G164" s="0" t="n">
        <v>9.8</v>
      </c>
      <c r="H164" s="0" t="n">
        <v>9.2</v>
      </c>
      <c r="I164" s="0" t="s">
        <v>107</v>
      </c>
      <c r="J164" s="0" t="n">
        <v>32.7</v>
      </c>
      <c r="L164" s="0" t="n">
        <v>4</v>
      </c>
      <c r="M164" s="0" t="s">
        <v>297</v>
      </c>
    </row>
    <row r="165" customFormat="false" ht="15" hidden="false" customHeight="false" outlineLevel="0" collapsed="false">
      <c r="A165" s="0" t="s">
        <v>296</v>
      </c>
      <c r="B165" s="0" t="s">
        <v>120</v>
      </c>
      <c r="C165" s="0" t="s">
        <v>77</v>
      </c>
      <c r="D165" s="0" t="s">
        <v>62</v>
      </c>
      <c r="E165" s="0" t="n">
        <v>2</v>
      </c>
      <c r="J165" s="0" t="n">
        <v>4</v>
      </c>
      <c r="L165" s="0" t="n">
        <v>2.7</v>
      </c>
      <c r="M165" s="0" t="s">
        <v>298</v>
      </c>
    </row>
    <row r="166" customFormat="false" ht="15" hidden="false" customHeight="false" outlineLevel="0" collapsed="false">
      <c r="A166" s="0" t="s">
        <v>296</v>
      </c>
      <c r="B166" s="0" t="s">
        <v>120</v>
      </c>
      <c r="C166" s="0" t="s">
        <v>77</v>
      </c>
      <c r="D166" s="0" t="s">
        <v>70</v>
      </c>
      <c r="E166" s="0" t="n">
        <v>2</v>
      </c>
      <c r="F166" s="24" t="n">
        <f aca="false">100-F167</f>
        <v>48.2</v>
      </c>
      <c r="G166" s="24" t="n">
        <f aca="false">100-G167</f>
        <v>92.6</v>
      </c>
      <c r="H166" s="24" t="n">
        <f aca="false">100-H167</f>
        <v>93.4</v>
      </c>
      <c r="J166" s="0" t="n">
        <v>2.07</v>
      </c>
      <c r="L166" s="0" t="n">
        <v>2.6</v>
      </c>
      <c r="M166" s="0" t="s">
        <v>298</v>
      </c>
    </row>
    <row r="167" customFormat="false" ht="15" hidden="false" customHeight="false" outlineLevel="0" collapsed="false">
      <c r="A167" s="0" t="s">
        <v>296</v>
      </c>
      <c r="B167" s="0" t="s">
        <v>120</v>
      </c>
      <c r="C167" s="0" t="s">
        <v>77</v>
      </c>
      <c r="D167" s="0" t="s">
        <v>71</v>
      </c>
      <c r="E167" s="0" t="n">
        <v>2</v>
      </c>
      <c r="F167" s="0" t="n">
        <v>51.8</v>
      </c>
      <c r="G167" s="0" t="n">
        <v>7.4</v>
      </c>
      <c r="H167" s="0" t="n">
        <v>6.6</v>
      </c>
      <c r="I167" s="0" t="s">
        <v>107</v>
      </c>
      <c r="J167" s="0" t="n">
        <v>32.7</v>
      </c>
      <c r="L167" s="0" t="n">
        <v>3.1</v>
      </c>
      <c r="M167" s="0" t="s">
        <v>298</v>
      </c>
    </row>
    <row r="168" customFormat="false" ht="15" hidden="false" customHeight="false" outlineLevel="0" collapsed="false">
      <c r="A168" s="0" t="s">
        <v>296</v>
      </c>
      <c r="B168" s="0" t="s">
        <v>120</v>
      </c>
      <c r="C168" s="0" t="s">
        <v>140</v>
      </c>
      <c r="D168" s="0" t="s">
        <v>62</v>
      </c>
      <c r="E168" s="0" t="n">
        <v>3</v>
      </c>
      <c r="J168" s="0" t="n">
        <v>3.2</v>
      </c>
      <c r="L168" s="0" t="n">
        <v>3.8</v>
      </c>
      <c r="M168" s="0" t="s">
        <v>299</v>
      </c>
    </row>
    <row r="169" customFormat="false" ht="15" hidden="false" customHeight="false" outlineLevel="0" collapsed="false">
      <c r="A169" s="0" t="s">
        <v>296</v>
      </c>
      <c r="B169" s="0" t="s">
        <v>120</v>
      </c>
      <c r="C169" s="0" t="s">
        <v>140</v>
      </c>
      <c r="D169" s="0" t="s">
        <v>70</v>
      </c>
      <c r="E169" s="0" t="n">
        <v>3</v>
      </c>
      <c r="F169" s="24" t="n">
        <f aca="false">100-F170</f>
        <v>52.5</v>
      </c>
      <c r="G169" s="24" t="n">
        <f aca="false">100-G170</f>
        <v>94</v>
      </c>
      <c r="H169" s="24" t="n">
        <f aca="false">100-H170</f>
        <v>95.7</v>
      </c>
      <c r="J169" s="0" t="n">
        <v>1.63</v>
      </c>
      <c r="L169" s="0" t="n">
        <v>3.4</v>
      </c>
      <c r="M169" s="0" t="s">
        <v>299</v>
      </c>
    </row>
    <row r="170" customFormat="false" ht="15" hidden="false" customHeight="false" outlineLevel="0" collapsed="false">
      <c r="A170" s="0" t="s">
        <v>296</v>
      </c>
      <c r="B170" s="0" t="s">
        <v>120</v>
      </c>
      <c r="C170" s="0" t="s">
        <v>140</v>
      </c>
      <c r="D170" s="0" t="s">
        <v>71</v>
      </c>
      <c r="E170" s="0" t="n">
        <v>3</v>
      </c>
      <c r="F170" s="0" t="n">
        <v>47.5</v>
      </c>
      <c r="G170" s="0" t="n">
        <v>6</v>
      </c>
      <c r="H170" s="0" t="n">
        <v>4.3</v>
      </c>
      <c r="I170" s="0" t="s">
        <v>107</v>
      </c>
      <c r="J170" s="0" t="n">
        <v>32.6</v>
      </c>
      <c r="L170" s="0" t="n">
        <v>4.7</v>
      </c>
      <c r="M170" s="0" t="s">
        <v>299</v>
      </c>
    </row>
    <row r="171" customFormat="false" ht="15" hidden="false" customHeight="false" outlineLevel="0" collapsed="false">
      <c r="A171" s="0" t="s">
        <v>296</v>
      </c>
      <c r="B171" s="0" t="s">
        <v>120</v>
      </c>
      <c r="C171" s="0" t="s">
        <v>61</v>
      </c>
      <c r="D171" s="0" t="s">
        <v>62</v>
      </c>
      <c r="E171" s="0" t="n">
        <v>4</v>
      </c>
      <c r="J171" s="0" t="n">
        <v>7</v>
      </c>
      <c r="L171" s="0" t="n">
        <v>2.2</v>
      </c>
      <c r="M171" s="0" t="s">
        <v>300</v>
      </c>
    </row>
    <row r="172" customFormat="false" ht="15" hidden="false" customHeight="false" outlineLevel="0" collapsed="false">
      <c r="A172" s="0" t="s">
        <v>296</v>
      </c>
      <c r="B172" s="0" t="s">
        <v>120</v>
      </c>
      <c r="C172" s="0" t="s">
        <v>61</v>
      </c>
      <c r="D172" s="0" t="s">
        <v>70</v>
      </c>
      <c r="E172" s="0" t="n">
        <v>4</v>
      </c>
      <c r="F172" s="24" t="n">
        <f aca="false">100-F173</f>
        <v>37.3</v>
      </c>
      <c r="G172" s="24" t="n">
        <f aca="false">100-G173</f>
        <v>83.9</v>
      </c>
      <c r="H172" s="24" t="n">
        <f aca="false">100-H173</f>
        <v>77.5</v>
      </c>
      <c r="J172" s="0" t="n">
        <v>3.77</v>
      </c>
      <c r="L172" s="0" t="n">
        <v>2.3</v>
      </c>
      <c r="M172" s="0" t="s">
        <v>300</v>
      </c>
    </row>
    <row r="173" customFormat="false" ht="15" hidden="false" customHeight="false" outlineLevel="0" collapsed="false">
      <c r="A173" s="0" t="s">
        <v>296</v>
      </c>
      <c r="B173" s="0" t="s">
        <v>120</v>
      </c>
      <c r="C173" s="0" t="s">
        <v>61</v>
      </c>
      <c r="D173" s="0" t="s">
        <v>71</v>
      </c>
      <c r="E173" s="0" t="n">
        <v>4</v>
      </c>
      <c r="F173" s="0" t="n">
        <v>62.7</v>
      </c>
      <c r="G173" s="0" t="n">
        <v>16.1</v>
      </c>
      <c r="H173" s="0" t="n">
        <v>22.5</v>
      </c>
      <c r="I173" s="0" t="s">
        <v>107</v>
      </c>
      <c r="J173" s="0" t="n">
        <v>21.1</v>
      </c>
      <c r="L173" s="0" t="n">
        <v>1.7</v>
      </c>
      <c r="M173" s="0" t="s">
        <v>300</v>
      </c>
    </row>
    <row r="174" customFormat="false" ht="15" hidden="false" customHeight="false" outlineLevel="0" collapsed="false">
      <c r="A174" s="0" t="s">
        <v>296</v>
      </c>
      <c r="B174" s="0" t="s">
        <v>120</v>
      </c>
      <c r="C174" s="0" t="s">
        <v>77</v>
      </c>
      <c r="D174" s="0" t="s">
        <v>62</v>
      </c>
      <c r="E174" s="0" t="n">
        <v>5</v>
      </c>
      <c r="J174" s="0" t="n">
        <v>6.8</v>
      </c>
      <c r="L174" s="0" t="n">
        <v>4.62</v>
      </c>
      <c r="M174" s="0" t="s">
        <v>301</v>
      </c>
    </row>
    <row r="175" customFormat="false" ht="15" hidden="false" customHeight="false" outlineLevel="0" collapsed="false">
      <c r="A175" s="0" t="s">
        <v>296</v>
      </c>
      <c r="B175" s="0" t="s">
        <v>120</v>
      </c>
      <c r="C175" s="0" t="s">
        <v>77</v>
      </c>
      <c r="D175" s="0" t="s">
        <v>70</v>
      </c>
      <c r="E175" s="0" t="n">
        <v>5</v>
      </c>
      <c r="F175" s="24" t="n">
        <f aca="false">100-F176</f>
        <v>37.7</v>
      </c>
      <c r="G175" s="24" t="n">
        <f aca="false">100-G176</f>
        <v>90.8</v>
      </c>
      <c r="H175" s="24" t="n">
        <f aca="false">100-H176</f>
        <v>88</v>
      </c>
      <c r="J175" s="0" t="n">
        <v>2.84</v>
      </c>
      <c r="L175" s="0" t="n">
        <v>4.5</v>
      </c>
      <c r="M175" s="0" t="s">
        <v>301</v>
      </c>
    </row>
    <row r="176" customFormat="false" ht="15" hidden="false" customHeight="false" outlineLevel="0" collapsed="false">
      <c r="A176" s="0" t="s">
        <v>296</v>
      </c>
      <c r="B176" s="0" t="s">
        <v>120</v>
      </c>
      <c r="C176" s="0" t="s">
        <v>77</v>
      </c>
      <c r="D176" s="0" t="s">
        <v>71</v>
      </c>
      <c r="E176" s="0" t="n">
        <v>5</v>
      </c>
      <c r="F176" s="0" t="n">
        <v>62.3</v>
      </c>
      <c r="G176" s="0" t="n">
        <v>9.2</v>
      </c>
      <c r="H176" s="0" t="n">
        <v>12</v>
      </c>
      <c r="I176" s="0" t="s">
        <v>107</v>
      </c>
      <c r="J176" s="0" t="n">
        <v>34.3</v>
      </c>
      <c r="L176" s="0" t="n">
        <v>3.3</v>
      </c>
      <c r="M176" s="0" t="s">
        <v>301</v>
      </c>
    </row>
    <row r="177" customFormat="false" ht="15" hidden="false" customHeight="false" outlineLevel="0" collapsed="false">
      <c r="A177" s="0" t="s">
        <v>296</v>
      </c>
      <c r="B177" s="0" t="s">
        <v>120</v>
      </c>
      <c r="C177" s="0" t="s">
        <v>77</v>
      </c>
      <c r="D177" s="0" t="s">
        <v>62</v>
      </c>
      <c r="E177" s="0" t="n">
        <v>6</v>
      </c>
      <c r="J177" s="0" t="n">
        <v>6.8</v>
      </c>
      <c r="L177" s="0" t="n">
        <v>4.62</v>
      </c>
      <c r="M177" s="0" t="s">
        <v>301</v>
      </c>
    </row>
    <row r="178" customFormat="false" ht="15" hidden="false" customHeight="false" outlineLevel="0" collapsed="false">
      <c r="A178" s="0" t="s">
        <v>296</v>
      </c>
      <c r="B178" s="0" t="s">
        <v>120</v>
      </c>
      <c r="C178" s="0" t="s">
        <v>77</v>
      </c>
      <c r="D178" s="0" t="s">
        <v>70</v>
      </c>
      <c r="E178" s="0" t="n">
        <v>6</v>
      </c>
      <c r="F178" s="24" t="n">
        <f aca="false">100-F179</f>
        <v>30.9</v>
      </c>
      <c r="G178" s="24" t="n">
        <f aca="false">100-G179</f>
        <v>87.4</v>
      </c>
      <c r="H178" s="24" t="n">
        <f aca="false">100-H179</f>
        <v>84</v>
      </c>
      <c r="J178" s="0" t="n">
        <v>2.77</v>
      </c>
      <c r="L178" s="0" t="n">
        <v>4.6</v>
      </c>
      <c r="M178" s="0" t="s">
        <v>301</v>
      </c>
    </row>
    <row r="179" customFormat="false" ht="15" hidden="false" customHeight="false" outlineLevel="0" collapsed="false">
      <c r="A179" s="0" t="s">
        <v>296</v>
      </c>
      <c r="B179" s="0" t="s">
        <v>120</v>
      </c>
      <c r="C179" s="0" t="s">
        <v>77</v>
      </c>
      <c r="D179" s="0" t="s">
        <v>71</v>
      </c>
      <c r="E179" s="0" t="n">
        <v>6</v>
      </c>
      <c r="F179" s="0" t="n">
        <v>69.1</v>
      </c>
      <c r="G179" s="0" t="n">
        <v>12.6</v>
      </c>
      <c r="H179" s="0" t="n">
        <v>16</v>
      </c>
      <c r="I179" s="0" t="s">
        <v>107</v>
      </c>
      <c r="J179" s="0" t="n">
        <v>32.5</v>
      </c>
      <c r="L179" s="0" t="n">
        <v>3.5</v>
      </c>
      <c r="M179" s="0" t="s">
        <v>301</v>
      </c>
    </row>
    <row r="180" customFormat="false" ht="15" hidden="false" customHeight="false" outlineLevel="0" collapsed="false">
      <c r="A180" s="0" t="s">
        <v>296</v>
      </c>
      <c r="B180" s="0" t="s">
        <v>120</v>
      </c>
      <c r="C180" s="0" t="s">
        <v>77</v>
      </c>
      <c r="D180" s="0" t="s">
        <v>62</v>
      </c>
      <c r="E180" s="0" t="n">
        <v>7</v>
      </c>
      <c r="J180" s="0" t="n">
        <v>6.8</v>
      </c>
      <c r="L180" s="0" t="n">
        <v>4.62</v>
      </c>
      <c r="M180" s="0" t="s">
        <v>301</v>
      </c>
    </row>
    <row r="181" customFormat="false" ht="15" hidden="false" customHeight="false" outlineLevel="0" collapsed="false">
      <c r="A181" s="0" t="s">
        <v>296</v>
      </c>
      <c r="B181" s="0" t="s">
        <v>120</v>
      </c>
      <c r="C181" s="0" t="s">
        <v>77</v>
      </c>
      <c r="D181" s="0" t="s">
        <v>70</v>
      </c>
      <c r="E181" s="0" t="n">
        <v>7</v>
      </c>
      <c r="F181" s="24" t="n">
        <f aca="false">100-F182</f>
        <v>30.3</v>
      </c>
      <c r="G181" s="24" t="n">
        <f aca="false">100-G182</f>
        <v>79</v>
      </c>
      <c r="H181" s="24" t="n">
        <f aca="false">100-H182</f>
        <v>81.3</v>
      </c>
      <c r="J181" s="0" t="n">
        <v>2.56</v>
      </c>
      <c r="L181" s="0" t="n">
        <v>4.2</v>
      </c>
      <c r="M181" s="0" t="s">
        <v>301</v>
      </c>
    </row>
    <row r="182" customFormat="false" ht="15" hidden="false" customHeight="false" outlineLevel="0" collapsed="false">
      <c r="A182" s="0" t="s">
        <v>296</v>
      </c>
      <c r="B182" s="0" t="s">
        <v>120</v>
      </c>
      <c r="C182" s="0" t="s">
        <v>77</v>
      </c>
      <c r="D182" s="0" t="s">
        <v>71</v>
      </c>
      <c r="E182" s="0" t="n">
        <v>7</v>
      </c>
      <c r="F182" s="0" t="n">
        <v>69.7</v>
      </c>
      <c r="G182" s="0" t="n">
        <v>21</v>
      </c>
      <c r="H182" s="0" t="n">
        <v>18.7</v>
      </c>
      <c r="I182" s="0" t="s">
        <v>107</v>
      </c>
      <c r="J182" s="0" t="n">
        <v>25.6</v>
      </c>
      <c r="L182" s="0" t="n">
        <v>4.8</v>
      </c>
      <c r="M182" s="0" t="s">
        <v>301</v>
      </c>
    </row>
    <row r="183" customFormat="false" ht="15" hidden="false" customHeight="false" outlineLevel="0" collapsed="false">
      <c r="A183" s="0" t="s">
        <v>296</v>
      </c>
      <c r="B183" s="0" t="s">
        <v>120</v>
      </c>
      <c r="C183" s="0" t="s">
        <v>77</v>
      </c>
      <c r="D183" s="0" t="s">
        <v>62</v>
      </c>
      <c r="E183" s="0" t="n">
        <v>8</v>
      </c>
      <c r="J183" s="0" t="n">
        <v>6.8</v>
      </c>
      <c r="L183" s="0" t="n">
        <v>4.62</v>
      </c>
      <c r="M183" s="0" t="s">
        <v>301</v>
      </c>
    </row>
    <row r="184" customFormat="false" ht="15" hidden="false" customHeight="false" outlineLevel="0" collapsed="false">
      <c r="A184" s="0" t="s">
        <v>296</v>
      </c>
      <c r="B184" s="0" t="s">
        <v>120</v>
      </c>
      <c r="C184" s="0" t="s">
        <v>77</v>
      </c>
      <c r="D184" s="0" t="s">
        <v>70</v>
      </c>
      <c r="E184" s="0" t="n">
        <v>8</v>
      </c>
      <c r="F184" s="24" t="n">
        <f aca="false">100-F185</f>
        <v>29.6</v>
      </c>
      <c r="G184" s="24" t="n">
        <f aca="false">100-G185</f>
        <v>74</v>
      </c>
      <c r="H184" s="24" t="n">
        <f aca="false">100-H185</f>
        <v>74</v>
      </c>
      <c r="J184" s="0" t="n">
        <v>2.75</v>
      </c>
      <c r="L184" s="0" t="n">
        <v>4.6</v>
      </c>
      <c r="M184" s="0" t="s">
        <v>301</v>
      </c>
    </row>
    <row r="185" customFormat="false" ht="15" hidden="false" customHeight="false" outlineLevel="0" collapsed="false">
      <c r="A185" s="0" t="s">
        <v>296</v>
      </c>
      <c r="B185" s="0" t="s">
        <v>120</v>
      </c>
      <c r="C185" s="0" t="s">
        <v>77</v>
      </c>
      <c r="D185" s="0" t="s">
        <v>71</v>
      </c>
      <c r="E185" s="0" t="n">
        <v>8</v>
      </c>
      <c r="F185" s="0" t="n">
        <v>70.4</v>
      </c>
      <c r="G185" s="0" t="n">
        <v>26</v>
      </c>
      <c r="H185" s="0" t="n">
        <v>26</v>
      </c>
      <c r="I185" s="0" t="s">
        <v>107</v>
      </c>
      <c r="J185" s="0" t="n">
        <v>18.6</v>
      </c>
      <c r="L185" s="0" t="n">
        <v>4.6</v>
      </c>
      <c r="M185" s="0" t="s">
        <v>301</v>
      </c>
    </row>
    <row r="186" customFormat="false" ht="15" hidden="false" customHeight="false" outlineLevel="0" collapsed="false">
      <c r="A186" s="0" t="s">
        <v>296</v>
      </c>
      <c r="B186" s="0" t="s">
        <v>120</v>
      </c>
      <c r="C186" s="0" t="s">
        <v>77</v>
      </c>
      <c r="D186" s="0" t="s">
        <v>62</v>
      </c>
      <c r="E186" s="0" t="n">
        <v>9</v>
      </c>
      <c r="J186" s="0" t="n">
        <v>6.8</v>
      </c>
      <c r="L186" s="0" t="n">
        <v>4.62</v>
      </c>
      <c r="M186" s="0" t="s">
        <v>301</v>
      </c>
    </row>
    <row r="187" customFormat="false" ht="15" hidden="false" customHeight="false" outlineLevel="0" collapsed="false">
      <c r="A187" s="0" t="s">
        <v>296</v>
      </c>
      <c r="B187" s="0" t="s">
        <v>120</v>
      </c>
      <c r="C187" s="0" t="s">
        <v>77</v>
      </c>
      <c r="D187" s="0" t="s">
        <v>70</v>
      </c>
      <c r="E187" s="0" t="n">
        <v>9</v>
      </c>
      <c r="F187" s="24" t="n">
        <f aca="false">100-F188</f>
        <v>44.5</v>
      </c>
      <c r="G187" s="24" t="n">
        <f aca="false">100-G188</f>
        <v>92.6</v>
      </c>
      <c r="H187" s="24" t="n">
        <f aca="false">100-H188</f>
        <v>90.4</v>
      </c>
      <c r="J187" s="0" t="n">
        <v>2.81</v>
      </c>
      <c r="L187" s="0" t="n">
        <v>4.6</v>
      </c>
      <c r="M187" s="0" t="s">
        <v>301</v>
      </c>
    </row>
    <row r="188" customFormat="false" ht="15" hidden="false" customHeight="false" outlineLevel="0" collapsed="false">
      <c r="A188" s="0" t="s">
        <v>296</v>
      </c>
      <c r="B188" s="0" t="s">
        <v>120</v>
      </c>
      <c r="C188" s="0" t="s">
        <v>77</v>
      </c>
      <c r="D188" s="0" t="s">
        <v>71</v>
      </c>
      <c r="E188" s="0" t="n">
        <v>9</v>
      </c>
      <c r="F188" s="0" t="n">
        <v>55.5</v>
      </c>
      <c r="G188" s="0" t="n">
        <v>7.4</v>
      </c>
      <c r="H188" s="0" t="n">
        <v>9.6</v>
      </c>
      <c r="I188" s="0" t="s">
        <v>107</v>
      </c>
      <c r="J188" s="0" t="n">
        <v>27.9</v>
      </c>
      <c r="L188" s="0" t="n">
        <v>3.6</v>
      </c>
      <c r="M188" s="0" t="s">
        <v>301</v>
      </c>
    </row>
    <row r="189" customFormat="false" ht="15" hidden="false" customHeight="false" outlineLevel="0" collapsed="false">
      <c r="A189" s="0" t="s">
        <v>296</v>
      </c>
      <c r="B189" s="0" t="s">
        <v>120</v>
      </c>
      <c r="C189" s="0" t="s">
        <v>77</v>
      </c>
      <c r="D189" s="0" t="s">
        <v>62</v>
      </c>
      <c r="E189" s="0" t="n">
        <v>10</v>
      </c>
      <c r="J189" s="0" t="n">
        <v>6.8</v>
      </c>
      <c r="L189" s="0" t="n">
        <v>4.62</v>
      </c>
      <c r="M189" s="0" t="s">
        <v>301</v>
      </c>
    </row>
    <row r="190" customFormat="false" ht="15" hidden="false" customHeight="false" outlineLevel="0" collapsed="false">
      <c r="A190" s="0" t="s">
        <v>296</v>
      </c>
      <c r="B190" s="0" t="s">
        <v>120</v>
      </c>
      <c r="C190" s="0" t="s">
        <v>77</v>
      </c>
      <c r="D190" s="0" t="s">
        <v>70</v>
      </c>
      <c r="E190" s="0" t="n">
        <v>10</v>
      </c>
      <c r="F190" s="24" t="n">
        <f aca="false">100-F191</f>
        <v>41.6</v>
      </c>
      <c r="G190" s="24" t="n">
        <f aca="false">100-G191</f>
        <v>90.1</v>
      </c>
      <c r="H190" s="24" t="n">
        <f aca="false">100-H191</f>
        <v>89</v>
      </c>
      <c r="J190" s="0" t="n">
        <v>2.81</v>
      </c>
      <c r="L190" s="0" t="n">
        <v>4.6</v>
      </c>
      <c r="M190" s="0" t="s">
        <v>301</v>
      </c>
    </row>
    <row r="191" customFormat="false" ht="15" hidden="false" customHeight="false" outlineLevel="0" collapsed="false">
      <c r="A191" s="0" t="s">
        <v>296</v>
      </c>
      <c r="B191" s="0" t="s">
        <v>120</v>
      </c>
      <c r="C191" s="0" t="s">
        <v>77</v>
      </c>
      <c r="D191" s="0" t="s">
        <v>71</v>
      </c>
      <c r="E191" s="0" t="n">
        <v>10</v>
      </c>
      <c r="F191" s="0" t="n">
        <v>58.4</v>
      </c>
      <c r="G191" s="0" t="n">
        <v>9.9</v>
      </c>
      <c r="H191" s="0" t="n">
        <v>11</v>
      </c>
      <c r="I191" s="0" t="s">
        <v>107</v>
      </c>
      <c r="J191" s="0" t="n">
        <v>31.9</v>
      </c>
      <c r="L191" s="0" t="n">
        <v>4.1</v>
      </c>
      <c r="M191" s="0" t="s">
        <v>301</v>
      </c>
    </row>
    <row r="192" customFormat="false" ht="15" hidden="false" customHeight="false" outlineLevel="0" collapsed="false">
      <c r="A192" s="0" t="s">
        <v>296</v>
      </c>
      <c r="B192" s="0" t="s">
        <v>120</v>
      </c>
      <c r="C192" s="0" t="s">
        <v>77</v>
      </c>
      <c r="D192" s="0" t="s">
        <v>62</v>
      </c>
      <c r="E192" s="0" t="n">
        <v>11</v>
      </c>
      <c r="J192" s="0" t="n">
        <v>6.8</v>
      </c>
      <c r="L192" s="0" t="n">
        <v>4.62</v>
      </c>
      <c r="M192" s="0" t="s">
        <v>301</v>
      </c>
    </row>
    <row r="193" customFormat="false" ht="15" hidden="false" customHeight="false" outlineLevel="0" collapsed="false">
      <c r="A193" s="0" t="s">
        <v>296</v>
      </c>
      <c r="B193" s="0" t="s">
        <v>120</v>
      </c>
      <c r="C193" s="0" t="s">
        <v>77</v>
      </c>
      <c r="D193" s="0" t="s">
        <v>70</v>
      </c>
      <c r="E193" s="0" t="n">
        <v>11</v>
      </c>
      <c r="F193" s="24" t="n">
        <f aca="false">100-F194</f>
        <v>30.9</v>
      </c>
      <c r="G193" s="24" t="n">
        <f aca="false">100-G194</f>
        <v>87.4</v>
      </c>
      <c r="H193" s="24" t="n">
        <f aca="false">100-H194</f>
        <v>84</v>
      </c>
      <c r="J193" s="0" t="n">
        <v>2.77</v>
      </c>
      <c r="L193" s="0" t="n">
        <v>4.6</v>
      </c>
      <c r="M193" s="0" t="s">
        <v>301</v>
      </c>
    </row>
    <row r="194" customFormat="false" ht="15" hidden="false" customHeight="false" outlineLevel="0" collapsed="false">
      <c r="A194" s="0" t="s">
        <v>296</v>
      </c>
      <c r="B194" s="0" t="s">
        <v>120</v>
      </c>
      <c r="C194" s="0" t="s">
        <v>77</v>
      </c>
      <c r="D194" s="0" t="s">
        <v>71</v>
      </c>
      <c r="E194" s="0" t="n">
        <v>11</v>
      </c>
      <c r="F194" s="0" t="n">
        <v>69.1</v>
      </c>
      <c r="G194" s="0" t="n">
        <v>12.6</v>
      </c>
      <c r="H194" s="0" t="n">
        <v>16</v>
      </c>
      <c r="I194" s="0" t="s">
        <v>107</v>
      </c>
      <c r="J194" s="0" t="n">
        <v>32.5</v>
      </c>
      <c r="L194" s="0" t="n">
        <v>3.5</v>
      </c>
      <c r="M194" s="0" t="s">
        <v>301</v>
      </c>
    </row>
    <row r="195" customFormat="false" ht="15" hidden="false" customHeight="false" outlineLevel="0" collapsed="false">
      <c r="A195" s="0" t="s">
        <v>296</v>
      </c>
      <c r="B195" s="0" t="s">
        <v>120</v>
      </c>
      <c r="C195" s="0" t="s">
        <v>77</v>
      </c>
      <c r="D195" s="0" t="s">
        <v>62</v>
      </c>
      <c r="E195" s="0" t="n">
        <v>12</v>
      </c>
      <c r="J195" s="0" t="n">
        <v>8.9</v>
      </c>
      <c r="L195" s="0" t="n">
        <v>4.56</v>
      </c>
      <c r="M195" s="0" t="s">
        <v>302</v>
      </c>
    </row>
    <row r="196" customFormat="false" ht="15" hidden="false" customHeight="false" outlineLevel="0" collapsed="false">
      <c r="A196" s="0" t="s">
        <v>296</v>
      </c>
      <c r="B196" s="0" t="s">
        <v>120</v>
      </c>
      <c r="C196" s="0" t="s">
        <v>77</v>
      </c>
      <c r="D196" s="0" t="s">
        <v>70</v>
      </c>
      <c r="E196" s="0" t="n">
        <v>12</v>
      </c>
      <c r="F196" s="24" t="n">
        <f aca="false">100-F197</f>
        <v>30.6</v>
      </c>
      <c r="G196" s="24" t="n">
        <f aca="false">100-G197</f>
        <v>77.7</v>
      </c>
      <c r="H196" s="24" t="n">
        <f aca="false">100-H197</f>
        <v>78.2</v>
      </c>
      <c r="J196" s="0" t="n">
        <v>4.04</v>
      </c>
      <c r="L196" s="0" t="n">
        <v>4.58</v>
      </c>
      <c r="M196" s="0" t="s">
        <v>302</v>
      </c>
    </row>
    <row r="197" customFormat="false" ht="15" hidden="false" customHeight="false" outlineLevel="0" collapsed="false">
      <c r="A197" s="0" t="s">
        <v>296</v>
      </c>
      <c r="B197" s="0" t="s">
        <v>120</v>
      </c>
      <c r="C197" s="0" t="s">
        <v>77</v>
      </c>
      <c r="D197" s="0" t="s">
        <v>71</v>
      </c>
      <c r="E197" s="0" t="n">
        <v>12</v>
      </c>
      <c r="F197" s="0" t="n">
        <v>69.4</v>
      </c>
      <c r="G197" s="0" t="n">
        <v>22.3</v>
      </c>
      <c r="H197" s="0" t="n">
        <v>21.8</v>
      </c>
      <c r="I197" s="0" t="s">
        <v>107</v>
      </c>
      <c r="J197" s="0" t="n">
        <v>33</v>
      </c>
      <c r="L197" s="0" t="n">
        <v>4.72</v>
      </c>
      <c r="M197" s="0" t="s">
        <v>302</v>
      </c>
    </row>
    <row r="198" customFormat="false" ht="15" hidden="false" customHeight="false" outlineLevel="0" collapsed="false">
      <c r="A198" s="0" t="s">
        <v>296</v>
      </c>
      <c r="B198" s="0" t="s">
        <v>120</v>
      </c>
      <c r="C198" s="0" t="s">
        <v>77</v>
      </c>
      <c r="D198" s="0" t="s">
        <v>62</v>
      </c>
      <c r="E198" s="0" t="n">
        <v>13</v>
      </c>
      <c r="J198" s="0" t="n">
        <v>8.9</v>
      </c>
      <c r="L198" s="0" t="n">
        <v>4.56</v>
      </c>
      <c r="M198" s="0" t="s">
        <v>302</v>
      </c>
    </row>
    <row r="199" customFormat="false" ht="15" hidden="false" customHeight="false" outlineLevel="0" collapsed="false">
      <c r="A199" s="0" t="s">
        <v>296</v>
      </c>
      <c r="B199" s="0" t="s">
        <v>120</v>
      </c>
      <c r="C199" s="0" t="s">
        <v>77</v>
      </c>
      <c r="D199" s="0" t="s">
        <v>70</v>
      </c>
      <c r="E199" s="0" t="n">
        <v>13</v>
      </c>
      <c r="F199" s="24" t="n">
        <f aca="false">100-F200</f>
        <v>31.3</v>
      </c>
      <c r="G199" s="24" t="n">
        <f aca="false">100-G200</f>
        <v>77.3</v>
      </c>
      <c r="H199" s="24" t="n">
        <f aca="false">100-H200</f>
        <v>79.3</v>
      </c>
      <c r="J199" s="0" t="n">
        <v>4</v>
      </c>
      <c r="L199" s="0" t="n">
        <v>455</v>
      </c>
      <c r="M199" s="0" t="s">
        <v>302</v>
      </c>
    </row>
    <row r="200" customFormat="false" ht="15" hidden="false" customHeight="false" outlineLevel="0" collapsed="false">
      <c r="A200" s="0" t="s">
        <v>296</v>
      </c>
      <c r="B200" s="0" t="s">
        <v>120</v>
      </c>
      <c r="C200" s="0" t="s">
        <v>77</v>
      </c>
      <c r="D200" s="0" t="s">
        <v>71</v>
      </c>
      <c r="E200" s="0" t="n">
        <v>13</v>
      </c>
      <c r="F200" s="0" t="n">
        <v>68.7</v>
      </c>
      <c r="G200" s="0" t="n">
        <v>22.7</v>
      </c>
      <c r="H200" s="0" t="n">
        <v>20.7</v>
      </c>
      <c r="I200" s="0" t="s">
        <v>107</v>
      </c>
      <c r="J200" s="0" t="n">
        <v>33.9</v>
      </c>
      <c r="L200" s="0" t="n">
        <v>5.13</v>
      </c>
      <c r="M200" s="0" t="s">
        <v>302</v>
      </c>
    </row>
    <row r="201" customFormat="false" ht="15" hidden="false" customHeight="false" outlineLevel="0" collapsed="false">
      <c r="A201" s="0" t="s">
        <v>296</v>
      </c>
      <c r="B201" s="0" t="s">
        <v>120</v>
      </c>
      <c r="C201" s="0" t="s">
        <v>77</v>
      </c>
      <c r="D201" s="0" t="s">
        <v>62</v>
      </c>
      <c r="E201" s="0" t="n">
        <v>14</v>
      </c>
      <c r="J201" s="0" t="n">
        <v>8.9</v>
      </c>
      <c r="L201" s="0" t="n">
        <v>4.56</v>
      </c>
      <c r="M201" s="0" t="s">
        <v>302</v>
      </c>
    </row>
    <row r="202" customFormat="false" ht="15" hidden="false" customHeight="false" outlineLevel="0" collapsed="false">
      <c r="A202" s="0" t="s">
        <v>296</v>
      </c>
      <c r="B202" s="0" t="s">
        <v>120</v>
      </c>
      <c r="C202" s="0" t="s">
        <v>77</v>
      </c>
      <c r="D202" s="0" t="s">
        <v>70</v>
      </c>
      <c r="E202" s="0" t="n">
        <v>14</v>
      </c>
      <c r="F202" s="24" t="n">
        <f aca="false">100-F203</f>
        <v>30.7</v>
      </c>
      <c r="G202" s="24" t="n">
        <f aca="false">100-G203</f>
        <v>82</v>
      </c>
      <c r="H202" s="24" t="n">
        <f aca="false">100-H203</f>
        <v>82.4</v>
      </c>
      <c r="J202" s="0" t="n">
        <v>3.9</v>
      </c>
      <c r="L202" s="0" t="n">
        <v>4.6</v>
      </c>
      <c r="M202" s="0" t="s">
        <v>302</v>
      </c>
    </row>
    <row r="203" customFormat="false" ht="15" hidden="false" customHeight="false" outlineLevel="0" collapsed="false">
      <c r="A203" s="0" t="s">
        <v>296</v>
      </c>
      <c r="B203" s="0" t="s">
        <v>120</v>
      </c>
      <c r="C203" s="0" t="s">
        <v>77</v>
      </c>
      <c r="D203" s="0" t="s">
        <v>71</v>
      </c>
      <c r="E203" s="0" t="n">
        <v>14</v>
      </c>
      <c r="F203" s="0" t="n">
        <v>69.3</v>
      </c>
      <c r="G203" s="0" t="n">
        <v>18</v>
      </c>
      <c r="H203" s="0" t="n">
        <v>17.6</v>
      </c>
      <c r="I203" s="0" t="s">
        <v>107</v>
      </c>
      <c r="J203" s="0" t="n">
        <v>41</v>
      </c>
      <c r="L203" s="0" t="n">
        <v>4.74</v>
      </c>
      <c r="M203" s="0" t="s">
        <v>302</v>
      </c>
    </row>
    <row r="204" customFormat="false" ht="15" hidden="false" customHeight="false" outlineLevel="0" collapsed="false">
      <c r="A204" s="0" t="s">
        <v>303</v>
      </c>
      <c r="B204" s="0" t="s">
        <v>153</v>
      </c>
      <c r="C204" s="0" t="s">
        <v>77</v>
      </c>
      <c r="D204" s="0" t="s">
        <v>62</v>
      </c>
      <c r="E204" s="0" t="n">
        <v>14</v>
      </c>
      <c r="I204" s="0" t="s">
        <v>304</v>
      </c>
      <c r="J204" s="24" t="n">
        <f aca="false">AVERAGE(3.73,3.81)</f>
        <v>3.77</v>
      </c>
      <c r="L204" s="38" t="n">
        <f aca="false">AVERAGE(1.51,1.52)</f>
        <v>1.515</v>
      </c>
    </row>
    <row r="205" customFormat="false" ht="15" hidden="false" customHeight="false" outlineLevel="0" collapsed="false">
      <c r="A205" s="0" t="s">
        <v>303</v>
      </c>
      <c r="B205" s="0" t="s">
        <v>153</v>
      </c>
      <c r="C205" s="0" t="s">
        <v>77</v>
      </c>
      <c r="D205" s="0" t="s">
        <v>70</v>
      </c>
      <c r="E205" s="0" t="n">
        <v>1</v>
      </c>
      <c r="F205" s="22" t="n">
        <f aca="false">J205*H205/J204</f>
        <v>59.1379310344828</v>
      </c>
      <c r="H205" s="24" t="n">
        <f aca="false">100-H206</f>
        <v>91</v>
      </c>
      <c r="I205" s="0" t="s">
        <v>304</v>
      </c>
      <c r="J205" s="38" t="n">
        <f aca="false">AVERAGE(2.41,2.43,2.59,2.37)</f>
        <v>2.45</v>
      </c>
      <c r="M205" s="53" t="s">
        <v>305</v>
      </c>
    </row>
    <row r="206" customFormat="false" ht="15" hidden="false" customHeight="false" outlineLevel="0" collapsed="false">
      <c r="A206" s="0" t="s">
        <v>303</v>
      </c>
      <c r="B206" s="0" t="s">
        <v>153</v>
      </c>
      <c r="C206" s="0" t="s">
        <v>77</v>
      </c>
      <c r="D206" s="0" t="s">
        <v>71</v>
      </c>
      <c r="E206" s="0" t="n">
        <v>1</v>
      </c>
      <c r="F206" s="22" t="n">
        <f aca="false">J206*H206/J204</f>
        <v>52.6989389920424</v>
      </c>
      <c r="H206" s="24" t="n">
        <f aca="false">90/1000*100</f>
        <v>9</v>
      </c>
      <c r="I206" s="0" t="s">
        <v>304</v>
      </c>
      <c r="J206" s="38" t="n">
        <f aca="false">AVERAGE(22.35,21.8)</f>
        <v>22.075</v>
      </c>
      <c r="M206" s="53" t="s">
        <v>305</v>
      </c>
    </row>
    <row r="207" customFormat="false" ht="15" hidden="false" customHeight="false" outlineLevel="0" collapsed="false">
      <c r="A207" s="0" t="s">
        <v>303</v>
      </c>
      <c r="B207" s="0" t="s">
        <v>153</v>
      </c>
      <c r="C207" s="0" t="s">
        <v>140</v>
      </c>
      <c r="D207" s="0" t="s">
        <v>62</v>
      </c>
      <c r="E207" s="0" t="n">
        <v>2</v>
      </c>
      <c r="I207" s="0" t="s">
        <v>306</v>
      </c>
      <c r="J207" s="38" t="n">
        <f aca="false">AVERAGE(5.74,5.82)</f>
        <v>5.78</v>
      </c>
      <c r="K207" s="38" t="n">
        <f aca="false">AVERAGE(7.78,7.78)</f>
        <v>7.78</v>
      </c>
      <c r="L207" s="38" t="n">
        <f aca="false">AVERAGE(1.8,1.75)</f>
        <v>1.775</v>
      </c>
    </row>
    <row r="208" customFormat="false" ht="15" hidden="false" customHeight="false" outlineLevel="0" collapsed="false">
      <c r="A208" s="0" t="s">
        <v>303</v>
      </c>
      <c r="B208" s="0" t="s">
        <v>153</v>
      </c>
      <c r="C208" s="0" t="s">
        <v>140</v>
      </c>
      <c r="D208" s="0" t="s">
        <v>70</v>
      </c>
      <c r="E208" s="0" t="n">
        <v>2</v>
      </c>
      <c r="F208" s="22" t="n">
        <f aca="false">J208*H208/J207</f>
        <v>63.7278910554376</v>
      </c>
      <c r="G208" s="22" t="n">
        <f aca="false">L208*H208/L207</f>
        <v>88.1568034818352</v>
      </c>
      <c r="H208" s="22" t="n">
        <f aca="false">(J207-J209)/(J208-J209)*100</f>
        <v>92.3175965665236</v>
      </c>
      <c r="I208" s="0" t="s">
        <v>306</v>
      </c>
      <c r="J208" s="38" t="n">
        <f aca="false">AVERAGE(3.91,4.07)</f>
        <v>3.99</v>
      </c>
      <c r="K208" s="38" t="n">
        <f aca="false">AVERAGE(7.83,7.83)</f>
        <v>7.83</v>
      </c>
      <c r="L208" s="38" t="n">
        <f aca="false">AVERAGE(1.71,1.68)</f>
        <v>1.695</v>
      </c>
    </row>
    <row r="209" customFormat="false" ht="15" hidden="false" customHeight="false" outlineLevel="0" collapsed="false">
      <c r="A209" s="0" t="s">
        <v>303</v>
      </c>
      <c r="B209" s="0" t="s">
        <v>153</v>
      </c>
      <c r="C209" s="0" t="s">
        <v>140</v>
      </c>
      <c r="D209" s="0" t="s">
        <v>71</v>
      </c>
      <c r="E209" s="0" t="n">
        <v>2</v>
      </c>
      <c r="F209" s="22" t="n">
        <f aca="false">J209*H209/J207</f>
        <v>36.2721089445624</v>
      </c>
      <c r="G209" s="22" t="n">
        <f aca="false">L209*H209/L207</f>
        <v>2.813274496766</v>
      </c>
      <c r="H209" s="22" t="n">
        <f aca="false">100-H208</f>
        <v>7.6824034334764</v>
      </c>
      <c r="I209" s="0" t="s">
        <v>306</v>
      </c>
      <c r="J209" s="38" t="n">
        <f aca="false">AVERAGE(27.05,27.53)</f>
        <v>27.29</v>
      </c>
      <c r="K209" s="38" t="n">
        <f aca="false">AVERAGE(8.68,8.7)</f>
        <v>8.69</v>
      </c>
      <c r="L209" s="38" t="n">
        <f aca="false">AVERAGE(0.68,0.62)</f>
        <v>0.65</v>
      </c>
    </row>
    <row r="210" customFormat="false" ht="15" hidden="false" customHeight="false" outlineLevel="0" collapsed="false">
      <c r="A210" s="0" t="s">
        <v>303</v>
      </c>
      <c r="B210" s="0" t="s">
        <v>153</v>
      </c>
      <c r="C210" s="0" t="s">
        <v>77</v>
      </c>
      <c r="D210" s="0" t="s">
        <v>62</v>
      </c>
      <c r="E210" s="0" t="n">
        <v>3</v>
      </c>
      <c r="I210" s="0" t="s">
        <v>306</v>
      </c>
      <c r="J210" s="38" t="n">
        <f aca="false">AVERAGE(3.69,3.81)</f>
        <v>3.75</v>
      </c>
      <c r="K210" s="38" t="n">
        <f aca="false">AVERAGE(6.97,6.98)</f>
        <v>6.975</v>
      </c>
      <c r="L210" s="38" t="n">
        <f aca="false">AVERAGE(1.41,1.6)</f>
        <v>1.505</v>
      </c>
    </row>
    <row r="211" customFormat="false" ht="15" hidden="false" customHeight="false" outlineLevel="0" collapsed="false">
      <c r="A211" s="0" t="s">
        <v>303</v>
      </c>
      <c r="B211" s="0" t="s">
        <v>153</v>
      </c>
      <c r="C211" s="0" t="s">
        <v>77</v>
      </c>
      <c r="D211" s="0" t="s">
        <v>70</v>
      </c>
      <c r="E211" s="0" t="n">
        <v>3</v>
      </c>
      <c r="I211" s="0" t="s">
        <v>306</v>
      </c>
      <c r="J211" s="38" t="n">
        <f aca="false">AVERAGE(2.42,2.42)</f>
        <v>2.42</v>
      </c>
      <c r="K211" s="38" t="n">
        <f aca="false">AVERAGE(7.04,7.04)</f>
        <v>7.04</v>
      </c>
      <c r="L211" s="38" t="n">
        <f aca="false">AVERAGE(1.48,1.61)</f>
        <v>1.545</v>
      </c>
    </row>
    <row r="212" customFormat="false" ht="15" hidden="false" customHeight="false" outlineLevel="0" collapsed="false">
      <c r="A212" s="0" t="s">
        <v>160</v>
      </c>
      <c r="B212" s="0" t="s">
        <v>153</v>
      </c>
      <c r="C212" s="0" t="s">
        <v>61</v>
      </c>
      <c r="D212" s="0" t="s">
        <v>62</v>
      </c>
      <c r="E212" s="0" t="n">
        <v>1</v>
      </c>
      <c r="J212" s="0" t="n">
        <f aca="false">'emission data'!O138</f>
        <v>8.7</v>
      </c>
      <c r="L212" s="0" t="n">
        <f aca="false">'emission data'!Q138</f>
        <v>1.95</v>
      </c>
    </row>
    <row r="213" customFormat="false" ht="15" hidden="false" customHeight="false" outlineLevel="0" collapsed="false">
      <c r="A213" s="0" t="s">
        <v>160</v>
      </c>
      <c r="B213" s="0" t="s">
        <v>69</v>
      </c>
      <c r="C213" s="0" t="s">
        <v>61</v>
      </c>
      <c r="D213" s="0" t="s">
        <v>70</v>
      </c>
      <c r="E213" s="0" t="n">
        <v>1</v>
      </c>
      <c r="F213" s="22" t="n">
        <f aca="false">J213*H213/J212</f>
        <v>43.4678085793705</v>
      </c>
      <c r="G213" s="22" t="n">
        <f aca="false">L213*H213/L212</f>
        <v>83.3031674208145</v>
      </c>
      <c r="H213" s="22" t="n">
        <f aca="false">(J212-35)/(J213-35)*100</f>
        <v>85.9477124183007</v>
      </c>
      <c r="J213" s="0" t="n">
        <f aca="false">'emission data'!O139</f>
        <v>4.4</v>
      </c>
      <c r="L213" s="0" t="n">
        <f aca="false">'emission data'!Q139</f>
        <v>1.89</v>
      </c>
    </row>
    <row r="214" customFormat="false" ht="15" hidden="false" customHeight="false" outlineLevel="0" collapsed="false">
      <c r="A214" s="0" t="s">
        <v>160</v>
      </c>
      <c r="B214" s="0" t="s">
        <v>153</v>
      </c>
      <c r="C214" s="0" t="s">
        <v>61</v>
      </c>
      <c r="D214" s="0" t="s">
        <v>62</v>
      </c>
      <c r="E214" s="0" t="n">
        <v>2</v>
      </c>
      <c r="J214" s="0" t="n">
        <f aca="false">'emission data'!O140</f>
        <v>8.5</v>
      </c>
      <c r="L214" s="0" t="n">
        <f aca="false">'emission data'!Q140</f>
        <v>1.9</v>
      </c>
    </row>
    <row r="215" customFormat="false" ht="15" hidden="false" customHeight="false" outlineLevel="0" collapsed="false">
      <c r="A215" s="0" t="s">
        <v>160</v>
      </c>
      <c r="B215" s="0" t="s">
        <v>153</v>
      </c>
      <c r="C215" s="0" t="s">
        <v>61</v>
      </c>
      <c r="D215" s="0" t="s">
        <v>70</v>
      </c>
      <c r="E215" s="0" t="n">
        <v>2</v>
      </c>
      <c r="F215" s="22" t="n">
        <f aca="false">J215*H215/J214</f>
        <v>43.6673692278214</v>
      </c>
      <c r="G215" s="22" t="n">
        <f aca="false">L215*H215/L214</f>
        <v>87.2278415909481</v>
      </c>
      <c r="H215" s="22" t="n">
        <f aca="false">(J214-35)/(J215-35)*100</f>
        <v>86.3192182410424</v>
      </c>
      <c r="J215" s="0" t="n">
        <f aca="false">'emission data'!O141</f>
        <v>4.3</v>
      </c>
      <c r="L215" s="0" t="n">
        <f aca="false">'emission data'!Q141</f>
        <v>1.92</v>
      </c>
    </row>
    <row r="216" customFormat="false" ht="15" hidden="false" customHeight="false" outlineLevel="0" collapsed="false">
      <c r="A216" s="0" t="s">
        <v>307</v>
      </c>
      <c r="B216" s="0" t="s">
        <v>153</v>
      </c>
      <c r="C216" s="0" t="s">
        <v>140</v>
      </c>
      <c r="D216" s="0" t="s">
        <v>62</v>
      </c>
      <c r="E216" s="0" t="n">
        <v>1</v>
      </c>
      <c r="J216" s="0" t="n">
        <v>4.34</v>
      </c>
      <c r="L216" s="38" t="n">
        <f aca="false">79.7*J216/100</f>
        <v>3.45898</v>
      </c>
      <c r="M216" s="0" t="s">
        <v>308</v>
      </c>
    </row>
    <row r="217" customFormat="false" ht="15" hidden="false" customHeight="false" outlineLevel="0" collapsed="false">
      <c r="A217" s="0" t="s">
        <v>307</v>
      </c>
      <c r="B217" s="0" t="s">
        <v>153</v>
      </c>
      <c r="C217" s="0" t="s">
        <v>140</v>
      </c>
      <c r="D217" s="0" t="s">
        <v>70</v>
      </c>
      <c r="E217" s="0" t="n">
        <v>1</v>
      </c>
      <c r="F217" s="0" t="n">
        <v>82.81</v>
      </c>
      <c r="G217" s="22" t="n">
        <f aca="false">L217*H217/L216</f>
        <v>81.4341030069106</v>
      </c>
      <c r="H217" s="22" t="n">
        <f aca="false">(J216-J218)/(J217-J218)*100</f>
        <v>94.6466809421842</v>
      </c>
      <c r="I217" s="0" t="s">
        <v>84</v>
      </c>
      <c r="J217" s="0" t="n">
        <v>3.59</v>
      </c>
      <c r="L217" s="38" t="n">
        <f aca="false">82.9*J217/100</f>
        <v>2.97611</v>
      </c>
      <c r="M217" s="0" t="s">
        <v>308</v>
      </c>
    </row>
    <row r="218" customFormat="false" ht="15" hidden="false" customHeight="false" outlineLevel="0" collapsed="false">
      <c r="A218" s="0" t="s">
        <v>307</v>
      </c>
      <c r="B218" s="0" t="s">
        <v>153</v>
      </c>
      <c r="C218" s="0" t="s">
        <v>140</v>
      </c>
      <c r="D218" s="0" t="s">
        <v>71</v>
      </c>
      <c r="E218" s="0" t="n">
        <v>1</v>
      </c>
      <c r="F218" s="0" t="n">
        <v>17.19</v>
      </c>
      <c r="G218" s="22" t="n">
        <f aca="false">L218*H218/L216</f>
        <v>3.89514637399202</v>
      </c>
      <c r="H218" s="22" t="n">
        <f aca="false">100-H217</f>
        <v>5.35331905781584</v>
      </c>
      <c r="I218" s="0" t="s">
        <v>84</v>
      </c>
      <c r="J218" s="0" t="n">
        <v>17.6</v>
      </c>
      <c r="L218" s="38" t="n">
        <f aca="false">14.3*J218/100</f>
        <v>2.5168</v>
      </c>
      <c r="M218" s="0" t="s">
        <v>308</v>
      </c>
    </row>
    <row r="219" customFormat="false" ht="15" hidden="false" customHeight="false" outlineLevel="0" collapsed="false">
      <c r="A219" s="0" t="s">
        <v>307</v>
      </c>
      <c r="B219" s="0" t="s">
        <v>153</v>
      </c>
      <c r="C219" s="0" t="s">
        <v>140</v>
      </c>
      <c r="D219" s="0" t="s">
        <v>62</v>
      </c>
      <c r="E219" s="0" t="n">
        <v>2</v>
      </c>
      <c r="J219" s="0" t="n">
        <v>5.85</v>
      </c>
      <c r="L219" s="38" t="n">
        <f aca="false">66.5*J219/100</f>
        <v>3.89025</v>
      </c>
      <c r="M219" s="0" t="s">
        <v>309</v>
      </c>
    </row>
    <row r="220" customFormat="false" ht="15" hidden="false" customHeight="false" outlineLevel="0" collapsed="false">
      <c r="A220" s="0" t="s">
        <v>307</v>
      </c>
      <c r="B220" s="0" t="s">
        <v>153</v>
      </c>
      <c r="C220" s="0" t="s">
        <v>140</v>
      </c>
      <c r="D220" s="0" t="s">
        <v>70</v>
      </c>
      <c r="E220" s="0" t="n">
        <v>2</v>
      </c>
      <c r="F220" s="0" t="n">
        <v>74.76</v>
      </c>
      <c r="G220" s="22" t="n">
        <f aca="false">L220*H220/L219</f>
        <v>91.3307359692553</v>
      </c>
      <c r="H220" s="22" t="n">
        <f aca="false">(J219-J221)/(J220-J221)*100</f>
        <v>90.6593406593407</v>
      </c>
      <c r="I220" s="0" t="s">
        <v>84</v>
      </c>
      <c r="J220" s="0" t="n">
        <v>4.66</v>
      </c>
      <c r="L220" s="38" t="n">
        <f aca="false">84.1*J220/100</f>
        <v>3.91906</v>
      </c>
      <c r="M220" s="0" t="s">
        <v>309</v>
      </c>
    </row>
    <row r="221" customFormat="false" ht="15" hidden="false" customHeight="false" outlineLevel="0" collapsed="false">
      <c r="A221" s="0" t="s">
        <v>307</v>
      </c>
      <c r="B221" s="0" t="s">
        <v>153</v>
      </c>
      <c r="C221" s="0" t="s">
        <v>140</v>
      </c>
      <c r="D221" s="0" t="s">
        <v>71</v>
      </c>
      <c r="E221" s="0" t="n">
        <v>2</v>
      </c>
      <c r="F221" s="0" t="n">
        <v>25.24</v>
      </c>
      <c r="G221" s="22" t="n">
        <f aca="false">L221*H221/L219</f>
        <v>6.4338360694636</v>
      </c>
      <c r="H221" s="22" t="n">
        <f aca="false">100-H220</f>
        <v>9.34065934065934</v>
      </c>
      <c r="I221" s="0" t="s">
        <v>84</v>
      </c>
      <c r="J221" s="0" t="n">
        <v>17.4</v>
      </c>
      <c r="L221" s="38" t="n">
        <f aca="false">15.4*J221/100</f>
        <v>2.6796</v>
      </c>
      <c r="M221" s="0" t="s">
        <v>309</v>
      </c>
    </row>
    <row r="222" customFormat="false" ht="15" hidden="false" customHeight="false" outlineLevel="0" collapsed="false">
      <c r="A222" s="0" t="s">
        <v>307</v>
      </c>
      <c r="B222" s="0" t="s">
        <v>153</v>
      </c>
      <c r="C222" s="0" t="s">
        <v>140</v>
      </c>
      <c r="D222" s="0" t="s">
        <v>62</v>
      </c>
      <c r="E222" s="0" t="n">
        <v>3</v>
      </c>
      <c r="J222" s="0" t="n">
        <v>5.34</v>
      </c>
      <c r="L222" s="38" t="n">
        <f aca="false">42.8*J222/100</f>
        <v>2.28552</v>
      </c>
      <c r="M222" s="0" t="s">
        <v>310</v>
      </c>
    </row>
    <row r="223" customFormat="false" ht="15" hidden="false" customHeight="false" outlineLevel="0" collapsed="false">
      <c r="A223" s="0" t="s">
        <v>307</v>
      </c>
      <c r="B223" s="0" t="s">
        <v>153</v>
      </c>
      <c r="C223" s="0" t="s">
        <v>140</v>
      </c>
      <c r="D223" s="0" t="s">
        <v>70</v>
      </c>
      <c r="E223" s="0" t="n">
        <v>3</v>
      </c>
      <c r="F223" s="0" t="n">
        <v>64.26</v>
      </c>
      <c r="G223" s="22" t="n">
        <f aca="false">L223*H223/L222</f>
        <v>92.8488497279844</v>
      </c>
      <c r="H223" s="22" t="n">
        <f aca="false">(J222-J224)/(J223-J224)*100</f>
        <v>93.1717171717172</v>
      </c>
      <c r="I223" s="0" t="s">
        <v>84</v>
      </c>
      <c r="J223" s="0" t="n">
        <v>3.65</v>
      </c>
      <c r="L223" s="38" t="n">
        <f aca="false">62.4*J223/100</f>
        <v>2.2776</v>
      </c>
      <c r="M223" s="0" t="s">
        <v>310</v>
      </c>
    </row>
    <row r="224" customFormat="false" ht="15" hidden="false" customHeight="false" outlineLevel="0" collapsed="false">
      <c r="A224" s="0" t="s">
        <v>307</v>
      </c>
      <c r="B224" s="0" t="s">
        <v>153</v>
      </c>
      <c r="C224" s="0" t="s">
        <v>140</v>
      </c>
      <c r="D224" s="0" t="s">
        <v>71</v>
      </c>
      <c r="E224" s="0" t="n">
        <v>3</v>
      </c>
      <c r="F224" s="0" t="n">
        <v>35.74</v>
      </c>
      <c r="G224" s="22" t="n">
        <f aca="false">L224*H224/L222</f>
        <v>5.83758548769576</v>
      </c>
      <c r="H224" s="22" t="n">
        <f aca="false">100-H223</f>
        <v>6.82828282828284</v>
      </c>
      <c r="I224" s="0" t="s">
        <v>84</v>
      </c>
      <c r="J224" s="0" t="n">
        <v>28.4</v>
      </c>
      <c r="L224" s="38" t="n">
        <f aca="false">6.88*J224/100</f>
        <v>1.95392</v>
      </c>
      <c r="M224" s="0" t="s">
        <v>310</v>
      </c>
    </row>
    <row r="225" customFormat="false" ht="15" hidden="false" customHeight="false" outlineLevel="0" collapsed="false">
      <c r="A225" s="0" t="s">
        <v>307</v>
      </c>
      <c r="B225" s="0" t="s">
        <v>153</v>
      </c>
      <c r="C225" s="0" t="s">
        <v>140</v>
      </c>
      <c r="D225" s="0" t="s">
        <v>62</v>
      </c>
      <c r="E225" s="0" t="n">
        <v>4</v>
      </c>
      <c r="J225" s="0" t="n">
        <v>5.29</v>
      </c>
      <c r="L225" s="38" t="n">
        <f aca="false">52*J225/100</f>
        <v>2.7508</v>
      </c>
      <c r="M225" s="0" t="s">
        <v>311</v>
      </c>
    </row>
    <row r="226" customFormat="false" ht="15" hidden="false" customHeight="false" outlineLevel="0" collapsed="false">
      <c r="A226" s="0" t="s">
        <v>307</v>
      </c>
      <c r="B226" s="0" t="s">
        <v>153</v>
      </c>
      <c r="C226" s="0" t="s">
        <v>140</v>
      </c>
      <c r="D226" s="0" t="s">
        <v>70</v>
      </c>
      <c r="E226" s="0" t="n">
        <v>4</v>
      </c>
      <c r="F226" s="0" t="n">
        <v>71.84</v>
      </c>
      <c r="G226" s="22" t="n">
        <f aca="false">L226*H226/L225</f>
        <v>91.3320880558749</v>
      </c>
      <c r="H226" s="22" t="n">
        <f aca="false">(J225-J227)/(J226-J227)*100</f>
        <v>91.4334665905197</v>
      </c>
      <c r="I226" s="0" t="s">
        <v>84</v>
      </c>
      <c r="J226" s="0" t="n">
        <v>3.79</v>
      </c>
      <c r="L226" s="38" t="n">
        <f aca="false">72.5*J226/100</f>
        <v>2.74775</v>
      </c>
      <c r="M226" s="0" t="s">
        <v>311</v>
      </c>
    </row>
    <row r="227" customFormat="false" ht="15" hidden="false" customHeight="false" outlineLevel="0" collapsed="false">
      <c r="A227" s="0" t="s">
        <v>307</v>
      </c>
      <c r="B227" s="0" t="s">
        <v>153</v>
      </c>
      <c r="C227" s="0" t="s">
        <v>140</v>
      </c>
      <c r="D227" s="0" t="s">
        <v>71</v>
      </c>
      <c r="E227" s="0" t="n">
        <v>4</v>
      </c>
      <c r="F227" s="0" t="n">
        <v>28.16</v>
      </c>
      <c r="G227" s="22" t="n">
        <f aca="false">L227*H227/L225</f>
        <v>5.89031698125178</v>
      </c>
      <c r="H227" s="22" t="n">
        <f aca="false">100-H226</f>
        <v>8.56653340948029</v>
      </c>
      <c r="I227" s="0" t="s">
        <v>84</v>
      </c>
      <c r="J227" s="0" t="n">
        <v>21.3</v>
      </c>
      <c r="L227" s="38" t="n">
        <f aca="false">8.88*J227/100</f>
        <v>1.89144</v>
      </c>
      <c r="M227" s="0" t="s">
        <v>311</v>
      </c>
    </row>
    <row r="228" customFormat="false" ht="15" hidden="false" customHeight="false" outlineLevel="0" collapsed="false">
      <c r="A228" s="0" t="s">
        <v>307</v>
      </c>
      <c r="B228" s="0" t="s">
        <v>153</v>
      </c>
      <c r="C228" s="0" t="s">
        <v>140</v>
      </c>
      <c r="D228" s="0" t="s">
        <v>62</v>
      </c>
      <c r="E228" s="0" t="n">
        <v>5</v>
      </c>
      <c r="J228" s="0" t="n">
        <v>4.91</v>
      </c>
      <c r="L228" s="38" t="n">
        <f aca="false">59.4*J228/100</f>
        <v>2.91654</v>
      </c>
      <c r="M228" s="0" t="s">
        <v>312</v>
      </c>
    </row>
    <row r="229" customFormat="false" ht="15" hidden="false" customHeight="false" outlineLevel="0" collapsed="false">
      <c r="A229" s="0" t="s">
        <v>307</v>
      </c>
      <c r="B229" s="0" t="s">
        <v>153</v>
      </c>
      <c r="C229" s="0" t="s">
        <v>140</v>
      </c>
      <c r="D229" s="0" t="s">
        <v>70</v>
      </c>
      <c r="E229" s="0" t="n">
        <v>5</v>
      </c>
      <c r="F229" s="0" t="n">
        <v>74</v>
      </c>
      <c r="G229" s="22" t="n">
        <f aca="false">L229*H229/L228</f>
        <v>92.0027669773087</v>
      </c>
      <c r="H229" s="22" t="n">
        <f aca="false">(J228-J230)/(J229-J230)*100</f>
        <v>90.625</v>
      </c>
      <c r="I229" s="0" t="s">
        <v>84</v>
      </c>
      <c r="J229" s="0" t="n">
        <v>3.38</v>
      </c>
      <c r="L229" s="38" t="n">
        <f aca="false">87.6*J229/100</f>
        <v>2.96088</v>
      </c>
      <c r="M229" s="0" t="s">
        <v>312</v>
      </c>
    </row>
    <row r="230" customFormat="false" ht="15" hidden="false" customHeight="false" outlineLevel="0" collapsed="false">
      <c r="A230" s="0" t="s">
        <v>307</v>
      </c>
      <c r="B230" s="0" t="s">
        <v>153</v>
      </c>
      <c r="C230" s="0" t="s">
        <v>140</v>
      </c>
      <c r="D230" s="0" t="s">
        <v>71</v>
      </c>
      <c r="E230" s="0" t="n">
        <v>5</v>
      </c>
      <c r="F230" s="0" t="n">
        <v>93</v>
      </c>
      <c r="G230" s="22" t="n">
        <f aca="false">L230*H230/L228</f>
        <v>7.78887397395545</v>
      </c>
      <c r="H230" s="22" t="n">
        <f aca="false">100-H229</f>
        <v>9.37500000000001</v>
      </c>
      <c r="I230" s="0" t="s">
        <v>84</v>
      </c>
      <c r="J230" s="0" t="n">
        <v>19.7</v>
      </c>
      <c r="L230" s="38" t="n">
        <f aca="false">12.3*J230/100</f>
        <v>2.4231</v>
      </c>
      <c r="M230" s="0" t="s">
        <v>312</v>
      </c>
    </row>
    <row r="231" customFormat="false" ht="15" hidden="false" customHeight="false" outlineLevel="0" collapsed="false">
      <c r="A231" s="0" t="s">
        <v>307</v>
      </c>
      <c r="B231" s="0" t="s">
        <v>153</v>
      </c>
      <c r="C231" s="0" t="s">
        <v>140</v>
      </c>
      <c r="D231" s="0" t="s">
        <v>62</v>
      </c>
      <c r="E231" s="0" t="n">
        <v>6</v>
      </c>
      <c r="J231" s="0" t="n">
        <v>5.73</v>
      </c>
      <c r="L231" s="38" t="n">
        <f aca="false">36.7*J231/100</f>
        <v>2.10291</v>
      </c>
      <c r="M231" s="0" t="s">
        <v>313</v>
      </c>
    </row>
    <row r="232" customFormat="false" ht="15" hidden="false" customHeight="false" outlineLevel="0" collapsed="false">
      <c r="A232" s="0" t="s">
        <v>307</v>
      </c>
      <c r="B232" s="0" t="s">
        <v>153</v>
      </c>
      <c r="C232" s="0" t="s">
        <v>140</v>
      </c>
      <c r="D232" s="0" t="s">
        <v>70</v>
      </c>
      <c r="E232" s="0" t="n">
        <v>6</v>
      </c>
      <c r="F232" s="0" t="n">
        <v>68.71</v>
      </c>
      <c r="G232" s="22" t="n">
        <f aca="false">L232*H232/L231</f>
        <v>93.5018270237198</v>
      </c>
      <c r="H232" s="22" t="n">
        <f aca="false">(J231-J233)/(J232-J233)*100</f>
        <v>92.2204213938412</v>
      </c>
      <c r="I232" s="0" t="s">
        <v>84</v>
      </c>
      <c r="J232" s="0" t="n">
        <v>4.29</v>
      </c>
      <c r="L232" s="38" t="n">
        <f aca="false">49.7*J232/100</f>
        <v>2.13213</v>
      </c>
      <c r="M232" s="0" t="s">
        <v>313</v>
      </c>
    </row>
    <row r="233" customFormat="false" ht="15" hidden="false" customHeight="false" outlineLevel="0" collapsed="false">
      <c r="A233" s="0" t="s">
        <v>307</v>
      </c>
      <c r="B233" s="0" t="s">
        <v>153</v>
      </c>
      <c r="C233" s="0" t="s">
        <v>140</v>
      </c>
      <c r="D233" s="0" t="s">
        <v>71</v>
      </c>
      <c r="E233" s="0" t="n">
        <v>6</v>
      </c>
      <c r="F233" s="0" t="n">
        <v>31.29</v>
      </c>
      <c r="G233" s="22" t="n">
        <f aca="false">L233*H233/L231</f>
        <v>7.10202710765535</v>
      </c>
      <c r="H233" s="22" t="n">
        <f aca="false">100-H232</f>
        <v>7.77957860615885</v>
      </c>
      <c r="I233" s="0" t="s">
        <v>84</v>
      </c>
      <c r="J233" s="0" t="n">
        <v>22.8</v>
      </c>
      <c r="L233" s="38" t="n">
        <f aca="false">8.42*J233/100</f>
        <v>1.91976</v>
      </c>
      <c r="M233" s="0" t="s">
        <v>313</v>
      </c>
    </row>
    <row r="234" customFormat="false" ht="15" hidden="false" customHeight="false" outlineLevel="0" collapsed="false">
      <c r="A234" s="0" t="s">
        <v>307</v>
      </c>
      <c r="B234" s="0" t="s">
        <v>153</v>
      </c>
      <c r="C234" s="0" t="s">
        <v>140</v>
      </c>
      <c r="D234" s="0" t="s">
        <v>62</v>
      </c>
      <c r="E234" s="0" t="n">
        <v>7</v>
      </c>
      <c r="J234" s="0" t="n">
        <v>5.01</v>
      </c>
      <c r="L234" s="38" t="n">
        <f aca="false">29.1*J234/100</f>
        <v>1.45791</v>
      </c>
      <c r="M234" s="0" t="s">
        <v>314</v>
      </c>
    </row>
    <row r="235" customFormat="false" ht="15" hidden="false" customHeight="false" outlineLevel="0" collapsed="false">
      <c r="A235" s="0" t="s">
        <v>307</v>
      </c>
      <c r="B235" s="0" t="s">
        <v>153</v>
      </c>
      <c r="C235" s="0" t="s">
        <v>140</v>
      </c>
      <c r="D235" s="0" t="s">
        <v>70</v>
      </c>
      <c r="E235" s="0" t="n">
        <v>7</v>
      </c>
      <c r="F235" s="0" t="n">
        <v>78.63</v>
      </c>
      <c r="G235" s="22" t="n">
        <f aca="false">L235*H235/L234</f>
        <v>84.176428277137</v>
      </c>
      <c r="H235" s="22" t="n">
        <f aca="false">(J234-J236)/(J235-J236)*100</f>
        <v>88.5782747603834</v>
      </c>
      <c r="I235" s="0" t="s">
        <v>84</v>
      </c>
      <c r="J235" s="0" t="n">
        <v>3.58</v>
      </c>
      <c r="L235" s="38" t="n">
        <f aca="false">38.7*J235/100</f>
        <v>1.38546</v>
      </c>
      <c r="M235" s="0" t="s">
        <v>314</v>
      </c>
    </row>
    <row r="236" customFormat="false" ht="15" hidden="false" customHeight="false" outlineLevel="0" collapsed="false">
      <c r="A236" s="0" t="s">
        <v>307</v>
      </c>
      <c r="B236" s="0" t="s">
        <v>153</v>
      </c>
      <c r="C236" s="0" t="s">
        <v>140</v>
      </c>
      <c r="D236" s="0" t="s">
        <v>71</v>
      </c>
      <c r="E236" s="0" t="n">
        <v>7</v>
      </c>
      <c r="F236" s="0" t="n">
        <v>42.15</v>
      </c>
      <c r="G236" s="22" t="n">
        <f aca="false">L236*H236/L234</f>
        <v>10.9104578848846</v>
      </c>
      <c r="H236" s="22" t="n">
        <f aca="false">100-H235</f>
        <v>11.4217252396166</v>
      </c>
      <c r="I236" s="0" t="s">
        <v>84</v>
      </c>
      <c r="J236" s="0" t="n">
        <v>16.1</v>
      </c>
      <c r="L236" s="38" t="n">
        <f aca="false">8.65*J236/100</f>
        <v>1.39265</v>
      </c>
      <c r="M236" s="0" t="s">
        <v>314</v>
      </c>
    </row>
    <row r="237" customFormat="false" ht="15" hidden="false" customHeight="false" outlineLevel="0" collapsed="false">
      <c r="A237" s="0" t="s">
        <v>307</v>
      </c>
      <c r="B237" s="0" t="s">
        <v>153</v>
      </c>
      <c r="C237" s="0" t="s">
        <v>140</v>
      </c>
      <c r="D237" s="0" t="s">
        <v>62</v>
      </c>
      <c r="E237" s="0" t="n">
        <v>8</v>
      </c>
      <c r="J237" s="0" t="n">
        <v>7.16</v>
      </c>
      <c r="L237" s="38" t="n">
        <f aca="false">63.7*J237/100</f>
        <v>4.56092</v>
      </c>
      <c r="M237" s="0" t="s">
        <v>315</v>
      </c>
    </row>
    <row r="238" customFormat="false" ht="15" hidden="false" customHeight="false" outlineLevel="0" collapsed="false">
      <c r="A238" s="0" t="s">
        <v>307</v>
      </c>
      <c r="B238" s="0" t="s">
        <v>153</v>
      </c>
      <c r="C238" s="0" t="s">
        <v>140</v>
      </c>
      <c r="D238" s="0" t="s">
        <v>70</v>
      </c>
      <c r="E238" s="0" t="n">
        <v>8</v>
      </c>
      <c r="F238" s="0" t="n">
        <v>58.96</v>
      </c>
      <c r="G238" s="22" t="n">
        <f aca="false">L238*H238/L237</f>
        <v>70.2738494589294</v>
      </c>
      <c r="H238" s="22" t="n">
        <f aca="false">(J237-J239)/(J238-J239)*100</f>
        <v>83.004455760662</v>
      </c>
      <c r="I238" s="0" t="s">
        <v>84</v>
      </c>
      <c r="J238" s="0" t="n">
        <v>4.49</v>
      </c>
      <c r="L238" s="38" t="n">
        <f aca="false">86*J238/100</f>
        <v>3.8614</v>
      </c>
      <c r="M238" s="0" t="s">
        <v>315</v>
      </c>
    </row>
    <row r="239" customFormat="false" ht="15" hidden="false" customHeight="false" outlineLevel="0" collapsed="false">
      <c r="A239" s="0" t="s">
        <v>307</v>
      </c>
      <c r="B239" s="0" t="s">
        <v>153</v>
      </c>
      <c r="C239" s="0" t="s">
        <v>140</v>
      </c>
      <c r="D239" s="0" t="s">
        <v>71</v>
      </c>
      <c r="E239" s="0" t="n">
        <v>8</v>
      </c>
      <c r="F239" s="0" t="n">
        <v>41.04</v>
      </c>
      <c r="G239" s="22" t="n">
        <f aca="false">L239*H239/L237</f>
        <v>11.8929906672933</v>
      </c>
      <c r="H239" s="22" t="n">
        <f aca="false">100-H238</f>
        <v>16.995544239338</v>
      </c>
      <c r="I239" s="0" t="s">
        <v>84</v>
      </c>
      <c r="J239" s="0" t="n">
        <v>20.2</v>
      </c>
      <c r="L239" s="38" t="n">
        <f aca="false">15.8*J239/100</f>
        <v>3.1916</v>
      </c>
      <c r="M239" s="0" t="s">
        <v>315</v>
      </c>
    </row>
    <row r="240" customFormat="false" ht="15" hidden="false" customHeight="false" outlineLevel="0" collapsed="false">
      <c r="A240" s="0" t="s">
        <v>307</v>
      </c>
      <c r="B240" s="0" t="s">
        <v>153</v>
      </c>
      <c r="C240" s="0" t="s">
        <v>140</v>
      </c>
      <c r="D240" s="0" t="s">
        <v>62</v>
      </c>
      <c r="E240" s="0" t="n">
        <v>9</v>
      </c>
      <c r="J240" s="0" t="n">
        <v>6.81</v>
      </c>
      <c r="L240" s="38" t="n">
        <f aca="false">31.9*J240/100</f>
        <v>2.17239</v>
      </c>
      <c r="M240" s="0" t="s">
        <v>316</v>
      </c>
    </row>
    <row r="241" customFormat="false" ht="15" hidden="false" customHeight="false" outlineLevel="0" collapsed="false">
      <c r="A241" s="0" t="s">
        <v>307</v>
      </c>
      <c r="B241" s="0" t="s">
        <v>153</v>
      </c>
      <c r="C241" s="0" t="s">
        <v>140</v>
      </c>
      <c r="D241" s="0" t="s">
        <v>70</v>
      </c>
      <c r="E241" s="0" t="n">
        <v>9</v>
      </c>
      <c r="F241" s="0" t="n">
        <v>65.56</v>
      </c>
      <c r="G241" s="22" t="n">
        <f aca="false">L241*H241/L239</f>
        <v>60.8422108033588</v>
      </c>
      <c r="H241" s="22" t="n">
        <f aca="false">(J240-J242)/(J241-J242)*100</f>
        <v>86.1111111111111</v>
      </c>
      <c r="I241" s="0" t="s">
        <v>84</v>
      </c>
      <c r="J241" s="0" t="n">
        <v>4.86</v>
      </c>
      <c r="L241" s="38" t="n">
        <f aca="false">46.4*J241/100</f>
        <v>2.25504</v>
      </c>
      <c r="M241" s="0" t="s">
        <v>316</v>
      </c>
    </row>
    <row r="242" customFormat="false" ht="15" hidden="false" customHeight="false" outlineLevel="0" collapsed="false">
      <c r="A242" s="0" t="s">
        <v>307</v>
      </c>
      <c r="B242" s="0" t="s">
        <v>153</v>
      </c>
      <c r="C242" s="0" t="s">
        <v>140</v>
      </c>
      <c r="D242" s="0" t="s">
        <v>71</v>
      </c>
      <c r="E242" s="0" t="n">
        <v>9</v>
      </c>
      <c r="F242" s="0" t="n">
        <v>34.44</v>
      </c>
      <c r="G242" s="22" t="n">
        <f aca="false">L242*H242/L240</f>
        <v>12.4459696463342</v>
      </c>
      <c r="H242" s="22" t="n">
        <f aca="false">100-H241</f>
        <v>13.8888888888889</v>
      </c>
      <c r="I242" s="0" t="s">
        <v>84</v>
      </c>
      <c r="J242" s="0" t="n">
        <v>18.9</v>
      </c>
      <c r="L242" s="38" t="n">
        <f aca="false">10.3*J242/100</f>
        <v>1.9467</v>
      </c>
      <c r="M242" s="0" t="s">
        <v>316</v>
      </c>
    </row>
    <row r="243" customFormat="false" ht="15" hidden="false" customHeight="false" outlineLevel="0" collapsed="false">
      <c r="A243" s="0" t="s">
        <v>307</v>
      </c>
      <c r="B243" s="0" t="s">
        <v>153</v>
      </c>
      <c r="C243" s="0" t="s">
        <v>140</v>
      </c>
      <c r="D243" s="0" t="s">
        <v>62</v>
      </c>
      <c r="E243" s="0" t="n">
        <v>10</v>
      </c>
      <c r="J243" s="0" t="n">
        <v>8.35</v>
      </c>
      <c r="L243" s="38" t="n">
        <f aca="false">36.9*J243/100</f>
        <v>3.08115</v>
      </c>
      <c r="M243" s="0" t="s">
        <v>317</v>
      </c>
    </row>
    <row r="244" customFormat="false" ht="15" hidden="false" customHeight="false" outlineLevel="0" collapsed="false">
      <c r="A244" s="0" t="s">
        <v>307</v>
      </c>
      <c r="B244" s="0" t="s">
        <v>153</v>
      </c>
      <c r="C244" s="0" t="s">
        <v>140</v>
      </c>
      <c r="D244" s="0" t="s">
        <v>70</v>
      </c>
      <c r="E244" s="0" t="n">
        <v>10</v>
      </c>
      <c r="F244" s="0" t="n">
        <v>50.8</v>
      </c>
      <c r="G244" s="22" t="n">
        <f aca="false">L244*H244/L242</f>
        <v>133.053497451127</v>
      </c>
      <c r="H244" s="22" t="n">
        <f aca="false">(J243-J245)/(J244-J245)*100</f>
        <v>85.7870894677237</v>
      </c>
      <c r="I244" s="0" t="s">
        <v>84</v>
      </c>
      <c r="J244" s="0" t="n">
        <v>5.84</v>
      </c>
      <c r="L244" s="38" t="n">
        <f aca="false">51.7*J244/100</f>
        <v>3.01928</v>
      </c>
      <c r="M244" s="0" t="s">
        <v>317</v>
      </c>
    </row>
    <row r="245" customFormat="false" ht="15" hidden="false" customHeight="false" outlineLevel="0" collapsed="false">
      <c r="A245" s="0" t="s">
        <v>307</v>
      </c>
      <c r="B245" s="0" t="s">
        <v>153</v>
      </c>
      <c r="C245" s="0" t="s">
        <v>140</v>
      </c>
      <c r="D245" s="0" t="s">
        <v>71</v>
      </c>
      <c r="E245" s="0" t="n">
        <v>10</v>
      </c>
      <c r="F245" s="0" t="n">
        <v>49.2</v>
      </c>
      <c r="G245" s="22" t="n">
        <f aca="false">L245*H245/L243</f>
        <v>11.8158383488067</v>
      </c>
      <c r="H245" s="22" t="n">
        <f aca="false">100-H244</f>
        <v>14.2129105322763</v>
      </c>
      <c r="I245" s="0" t="s">
        <v>84</v>
      </c>
      <c r="J245" s="0" t="n">
        <v>23.5</v>
      </c>
      <c r="L245" s="38" t="n">
        <f aca="false">10.9*J245/100</f>
        <v>2.5615</v>
      </c>
      <c r="M245" s="0" t="s">
        <v>317</v>
      </c>
    </row>
    <row r="246" customFormat="false" ht="15" hidden="false" customHeight="false" outlineLevel="0" collapsed="false">
      <c r="A246" s="0" t="s">
        <v>307</v>
      </c>
      <c r="B246" s="0" t="s">
        <v>153</v>
      </c>
      <c r="C246" s="0" t="s">
        <v>140</v>
      </c>
      <c r="D246" s="0" t="s">
        <v>62</v>
      </c>
      <c r="E246" s="0" t="n">
        <v>11</v>
      </c>
      <c r="J246" s="0" t="n">
        <v>5.51</v>
      </c>
      <c r="L246" s="38" t="n">
        <f aca="false">36.7*J246/100</f>
        <v>2.02217</v>
      </c>
      <c r="M246" s="0" t="s">
        <v>318</v>
      </c>
    </row>
    <row r="247" customFormat="false" ht="15" hidden="false" customHeight="false" outlineLevel="0" collapsed="false">
      <c r="A247" s="0" t="s">
        <v>307</v>
      </c>
      <c r="B247" s="0" t="s">
        <v>153</v>
      </c>
      <c r="C247" s="0" t="s">
        <v>140</v>
      </c>
      <c r="D247" s="0" t="s">
        <v>70</v>
      </c>
      <c r="E247" s="0" t="n">
        <v>11</v>
      </c>
      <c r="F247" s="0" t="n">
        <v>70.63</v>
      </c>
      <c r="G247" s="22" t="n">
        <f aca="false">L247*H247/L246</f>
        <v>88.7761952476345</v>
      </c>
      <c r="H247" s="22" t="n">
        <f aca="false">(J246-J248)/(J247-J248)*100</f>
        <v>93.0698429886302</v>
      </c>
      <c r="I247" s="0" t="s">
        <v>84</v>
      </c>
      <c r="J247" s="0" t="n">
        <v>4.23</v>
      </c>
      <c r="L247" s="38" t="n">
        <f aca="false">45.6*J247/100</f>
        <v>1.92888</v>
      </c>
      <c r="M247" s="0" t="s">
        <v>318</v>
      </c>
    </row>
    <row r="248" customFormat="false" ht="15" hidden="false" customHeight="false" outlineLevel="0" collapsed="false">
      <c r="A248" s="0" t="s">
        <v>307</v>
      </c>
      <c r="B248" s="0" t="s">
        <v>153</v>
      </c>
      <c r="C248" s="0" t="s">
        <v>140</v>
      </c>
      <c r="D248" s="0" t="s">
        <v>71</v>
      </c>
      <c r="E248" s="0" t="n">
        <v>11</v>
      </c>
      <c r="F248" s="0" t="n">
        <v>29.37</v>
      </c>
      <c r="G248" s="22" t="n">
        <f aca="false">L248*H248/L246</f>
        <v>5.29005492255865</v>
      </c>
      <c r="H248" s="22" t="n">
        <f aca="false">100-H247</f>
        <v>6.9301570113698</v>
      </c>
      <c r="I248" s="0" t="s">
        <v>84</v>
      </c>
      <c r="J248" s="0" t="n">
        <v>22.7</v>
      </c>
      <c r="L248" s="38" t="n">
        <f aca="false">6.8*J248/100</f>
        <v>1.5436</v>
      </c>
      <c r="M248" s="0" t="s">
        <v>318</v>
      </c>
    </row>
    <row r="249" customFormat="false" ht="15" hidden="false" customHeight="false" outlineLevel="0" collapsed="false">
      <c r="A249" s="0" t="s">
        <v>319</v>
      </c>
      <c r="B249" s="0" t="s">
        <v>153</v>
      </c>
      <c r="C249" s="0" t="s">
        <v>61</v>
      </c>
      <c r="D249" s="0" t="s">
        <v>62</v>
      </c>
      <c r="E249" s="0" t="n">
        <v>1</v>
      </c>
      <c r="J249" s="0" t="n">
        <v>5.24</v>
      </c>
    </row>
    <row r="250" customFormat="false" ht="15" hidden="false" customHeight="false" outlineLevel="0" collapsed="false">
      <c r="A250" s="0" t="s">
        <v>319</v>
      </c>
      <c r="B250" s="0" t="s">
        <v>153</v>
      </c>
      <c r="C250" s="0" t="s">
        <v>61</v>
      </c>
      <c r="D250" s="0" t="s">
        <v>70</v>
      </c>
      <c r="E250" s="0" t="n">
        <v>1</v>
      </c>
      <c r="F250" s="0" t="n">
        <v>50</v>
      </c>
      <c r="H250" s="22" t="n">
        <f aca="false">(J249-J251)/(J250-J251)*100</f>
        <v>90.1564866229177</v>
      </c>
      <c r="I250" s="0" t="s">
        <v>320</v>
      </c>
      <c r="J250" s="0" t="n">
        <v>3.29</v>
      </c>
    </row>
    <row r="251" customFormat="false" ht="15" hidden="false" customHeight="false" outlineLevel="0" collapsed="false">
      <c r="A251" s="0" t="s">
        <v>319</v>
      </c>
      <c r="B251" s="0" t="s">
        <v>153</v>
      </c>
      <c r="C251" s="0" t="s">
        <v>61</v>
      </c>
      <c r="D251" s="0" t="s">
        <v>71</v>
      </c>
      <c r="E251" s="0" t="n">
        <v>1</v>
      </c>
      <c r="F251" s="0" t="n">
        <v>50</v>
      </c>
      <c r="H251" s="22" t="n">
        <f aca="false">100-H250</f>
        <v>9.84351337708229</v>
      </c>
      <c r="I251" s="0" t="s">
        <v>320</v>
      </c>
      <c r="J251" s="0" t="n">
        <v>23.1</v>
      </c>
    </row>
  </sheetData>
  <mergeCells count="3">
    <mergeCell ref="A1:E1"/>
    <mergeCell ref="F1:I1"/>
    <mergeCell ref="J1:L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AF577DD6E8D684CAFF1362865632EC1" ma:contentTypeVersion="14" ma:contentTypeDescription="Opret et nyt dokument." ma:contentTypeScope="" ma:versionID="124ec2e8304c3c5bf89d682421b875f7">
  <xsd:schema xmlns:xsd="http://www.w3.org/2001/XMLSchema" xmlns:xs="http://www.w3.org/2001/XMLSchema" xmlns:p="http://schemas.microsoft.com/office/2006/metadata/properties" xmlns:ns3="2f148fa0-8849-43ca-a1ad-3219566f6285" xmlns:ns4="3b7cc9eb-1f2c-44c2-aef1-68ff51cd8f88" targetNamespace="http://schemas.microsoft.com/office/2006/metadata/properties" ma:root="true" ma:fieldsID="464bcc6cf6fa934ceccd475991ae2ccb" ns3:_="" ns4:_="">
    <xsd:import namespace="2f148fa0-8849-43ca-a1ad-3219566f6285"/>
    <xsd:import namespace="3b7cc9eb-1f2c-44c2-aef1-68ff51cd8f8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element ref="ns4:MediaServiceOCR"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148fa0-8849-43ca-a1ad-3219566f6285" elementFormDefault="qualified">
    <xsd:import namespace="http://schemas.microsoft.com/office/2006/documentManagement/types"/>
    <xsd:import namespace="http://schemas.microsoft.com/office/infopath/2007/PartnerControls"/>
    <xsd:element name="SharedWithUsers" ma:index="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t med detaljer" ma:internalName="SharedWithDetails" ma:readOnly="true">
      <xsd:simpleType>
        <xsd:restriction base="dms:Note">
          <xsd:maxLength value="255"/>
        </xsd:restriction>
      </xsd:simpleType>
    </xsd:element>
    <xsd:element name="SharingHintHash" ma:index="10" nillable="true" ma:displayName="Hashværdi for deling"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7cc9eb-1f2c-44c2-aef1-68ff51cd8f8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62E54A-967B-44BB-90F9-1599E728B1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148fa0-8849-43ca-a1ad-3219566f6285"/>
    <ds:schemaRef ds:uri="3b7cc9eb-1f2c-44c2-aef1-68ff51cd8f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A402CE-7A4B-44ED-A208-3884D1FBDB29}">
  <ds:schemaRefs>
    <ds:schemaRef ds:uri="http://purl.org/dc/terms/"/>
    <ds:schemaRef ds:uri="http://purl.org/dc/dcmitype/"/>
    <ds:schemaRef ds:uri="http://schemas.openxmlformats.org/package/2006/metadata/core-properties"/>
    <ds:schemaRef ds:uri="http://purl.org/dc/elements/1.1/"/>
    <ds:schemaRef ds:uri="2f148fa0-8849-43ca-a1ad-3219566f6285"/>
    <ds:schemaRef ds:uri="3b7cc9eb-1f2c-44c2-aef1-68ff51cd8f88"/>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42DF2204-8892-4A94-90A5-6DCDBF4AC4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8</TotalTime>
  <Application>LibreOffice/25.8.4.2$Linux_X86_64 LibreOffice_project/580$Build-2</Application>
  <AppVersion>15.0000</AppVersion>
  <Company>Aarhus University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2021-11-03T07:17:48Z</dcterms:created>
  <dc:creator>Johanna Pedersen</dc:creator>
  <dc:description/>
  <dc:language>en-US</dc:language>
  <cp:lastModifiedBy>Sasha Hafner</cp:lastModifiedBy>
  <dcterms:modified xsi:type="dcterms:W3CDTF">2026-02-02T16:06:50Z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0x0101000AF577DD6E8D684CAFF1362865632EC1</vt:lpwstr>
  </property>
</Properties>
</file>