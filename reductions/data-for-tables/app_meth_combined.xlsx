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594831\GitHub_repos\GD-NH3\reductions\data-for-tables\"/>
    </mc:Choice>
  </mc:AlternateContent>
  <xr:revisionPtr revIDLastSave="0" documentId="13_ncr:1_{C308600A-8A19-438C-9516-D6EE91348B9A}" xr6:coauthVersionLast="47" xr6:coauthVersionMax="47" xr10:uidLastSave="{00000000-0000-0000-0000-000000000000}"/>
  <bookViews>
    <workbookView xWindow="-108" yWindow="-108" windowWidth="23256" windowHeight="13896" activeTab="1" xr2:uid="{7C63DCD4-7913-4208-A171-6214FA8E3972}"/>
  </bookViews>
  <sheets>
    <sheet name="info" sheetId="2" r:id="rId1"/>
    <sheet name="avg.data" sheetId="3" r:id="rId2"/>
    <sheet name="new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3" l="1"/>
  <c r="R8" i="3"/>
  <c r="T8" i="3" s="1"/>
  <c r="R9" i="3"/>
  <c r="T9" i="3" s="1"/>
  <c r="R10" i="3"/>
  <c r="T10" i="3" s="1"/>
  <c r="R6" i="3"/>
  <c r="T6" i="3" s="1"/>
  <c r="T7" i="3"/>
  <c r="Q6" i="3"/>
  <c r="Q7" i="3"/>
  <c r="Q8" i="3"/>
  <c r="Q9" i="3"/>
  <c r="Q10" i="3"/>
  <c r="P7" i="3"/>
  <c r="P8" i="3"/>
  <c r="P9" i="3"/>
  <c r="P10" i="3"/>
  <c r="P6" i="3"/>
  <c r="O7" i="3"/>
  <c r="O8" i="3"/>
  <c r="O9" i="3"/>
  <c r="O10" i="3"/>
  <c r="O6" i="3"/>
  <c r="N8" i="3"/>
  <c r="N7" i="3"/>
  <c r="N9" i="3"/>
  <c r="N6" i="3"/>
  <c r="M10" i="3"/>
  <c r="M9" i="3"/>
  <c r="M6" i="3"/>
  <c r="M7" i="3"/>
  <c r="M8" i="3"/>
</calcChain>
</file>

<file path=xl/sharedStrings.xml><?xml version="1.0" encoding="utf-8"?>
<sst xmlns="http://schemas.openxmlformats.org/spreadsheetml/2006/main" count="46" uniqueCount="37">
  <si>
    <t>Trail hose</t>
  </si>
  <si>
    <t>Slot Injec.</t>
  </si>
  <si>
    <t>Deep Injec</t>
  </si>
  <si>
    <t>Trail shoe</t>
  </si>
  <si>
    <t>papers</t>
  </si>
  <si>
    <t>app.tech</t>
  </si>
  <si>
    <t>mean.red</t>
  </si>
  <si>
    <t>range.min</t>
  </si>
  <si>
    <t>range.max</t>
  </si>
  <si>
    <t>Data for table XX in Chapter 7 in the updated GD</t>
  </si>
  <si>
    <t>Old' data is from ../data/lit_2014</t>
  </si>
  <si>
    <t>New' data is from ../output/app.tech</t>
  </si>
  <si>
    <t>Old data</t>
  </si>
  <si>
    <t>com</t>
  </si>
  <si>
    <t>red.avg</t>
  </si>
  <si>
    <t>red.sd</t>
  </si>
  <si>
    <t>study.no</t>
  </si>
  <si>
    <t>surface broadcast - banding</t>
  </si>
  <si>
    <t>surface broadcast - Trailing shoe</t>
  </si>
  <si>
    <t>New data</t>
  </si>
  <si>
    <t>Combined</t>
  </si>
  <si>
    <t>avg</t>
  </si>
  <si>
    <t>surface broadcast - closed slot injection</t>
  </si>
  <si>
    <t>surface broadcast - broadcast / incorporation</t>
  </si>
  <si>
    <t>surface broadcast - open slot injection</t>
  </si>
  <si>
    <t>surface broadcast - Banded / aeration</t>
  </si>
  <si>
    <t>banding - open slot injection</t>
  </si>
  <si>
    <t>banding - Trailing shoe</t>
  </si>
  <si>
    <t>surface broadcast - broadcast / aeration</t>
  </si>
  <si>
    <t>banding - Banded / aeration</t>
  </si>
  <si>
    <t>NA</t>
  </si>
  <si>
    <t>rel. diff (%)</t>
  </si>
  <si>
    <t>std. err.</t>
  </si>
  <si>
    <t>lwr. lim.</t>
  </si>
  <si>
    <t>upr. lim</t>
  </si>
  <si>
    <t>n comb.</t>
  </si>
  <si>
    <t>table 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</si>
</sst>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0" fontId="3" fillId="0" borderId="0" xfId="0" quotePrefix="1" applyFont="1" applyAlignment="1">
      <alignment horizontal="justify" vertical="center"/>
    </xf>
    <xf numFmtId="0" fontId="4" fillId="0" borderId="0" xfId="0" applyFont="1"/>
    <xf numFmtId="1" fontId="0" fillId="0" borderId="0" xfId="0" applyNumberForma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B58A-D4CA-478A-9675-C91FBFEFB3AE}">
  <dimension ref="B3:B10"/>
  <sheetViews>
    <sheetView workbookViewId="0">
      <selection activeCell="B6" sqref="B6"/>
    </sheetView>
  </sheetViews>
  <sheetFormatPr defaultRowHeight="14.4" x14ac:dyDescent="0.3"/>
  <cols>
    <col min="2" max="2" width="43.5546875" bestFit="1" customWidth="1"/>
  </cols>
  <sheetData>
    <row r="3" spans="2:2" x14ac:dyDescent="0.3">
      <c r="B3" t="s">
        <v>9</v>
      </c>
    </row>
    <row r="4" spans="2:2" x14ac:dyDescent="0.3">
      <c r="B4" s="2"/>
    </row>
    <row r="5" spans="2:2" x14ac:dyDescent="0.3">
      <c r="B5" s="6" t="s">
        <v>10</v>
      </c>
    </row>
    <row r="6" spans="2:2" x14ac:dyDescent="0.3">
      <c r="B6" s="6" t="s">
        <v>11</v>
      </c>
    </row>
    <row r="7" spans="2:2" x14ac:dyDescent="0.3">
      <c r="B7" s="2"/>
    </row>
    <row r="8" spans="2:2" x14ac:dyDescent="0.3">
      <c r="B8" s="2"/>
    </row>
    <row r="9" spans="2:2" x14ac:dyDescent="0.3">
      <c r="B9" s="2"/>
    </row>
    <row r="10" spans="2:2" x14ac:dyDescent="0.3"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1CA5-1FB4-4DAD-BBC1-66FB61386D09}">
  <dimension ref="A1:T1048565"/>
  <sheetViews>
    <sheetView tabSelected="1" zoomScale="79" zoomScaleNormal="190" workbookViewId="0">
      <selection activeCell="F21" sqref="F21"/>
    </sheetView>
  </sheetViews>
  <sheetFormatPr defaultRowHeight="14.4" x14ac:dyDescent="0.3"/>
  <cols>
    <col min="1" max="1" width="20.33203125" customWidth="1"/>
    <col min="2" max="2" width="11.6640625" bestFit="1" customWidth="1"/>
    <col min="3" max="3" width="14.88671875" bestFit="1" customWidth="1"/>
    <col min="4" max="4" width="12.44140625" customWidth="1"/>
    <col min="5" max="5" width="14.44140625" customWidth="1"/>
    <col min="6" max="6" width="12.44140625" customWidth="1"/>
    <col min="7" max="7" width="26.88671875" bestFit="1" customWidth="1"/>
    <col min="14" max="14" width="10.33203125" bestFit="1" customWidth="1"/>
    <col min="15" max="15" width="10.33203125" customWidth="1"/>
    <col min="20" max="20" width="10.33203125" bestFit="1" customWidth="1"/>
  </cols>
  <sheetData>
    <row r="1" spans="1:20" ht="30" customHeight="1" x14ac:dyDescent="0.3"/>
    <row r="3" spans="1:20" x14ac:dyDescent="0.3">
      <c r="A3" s="7" t="s">
        <v>12</v>
      </c>
      <c r="G3" s="7" t="s">
        <v>19</v>
      </c>
      <c r="M3" s="7" t="s">
        <v>20</v>
      </c>
    </row>
    <row r="4" spans="1:20" x14ac:dyDescent="0.3">
      <c r="C4" s="4"/>
    </row>
    <row r="5" spans="1:20" x14ac:dyDescent="0.3">
      <c r="A5" s="3" t="s">
        <v>5</v>
      </c>
      <c r="B5" s="3" t="s">
        <v>4</v>
      </c>
      <c r="C5" s="3" t="s">
        <v>6</v>
      </c>
      <c r="D5" s="3" t="s">
        <v>7</v>
      </c>
      <c r="E5" s="3" t="s">
        <v>8</v>
      </c>
      <c r="G5" t="s">
        <v>13</v>
      </c>
      <c r="H5" t="s">
        <v>14</v>
      </c>
      <c r="I5" t="s">
        <v>15</v>
      </c>
      <c r="J5" t="s">
        <v>16</v>
      </c>
      <c r="M5" t="s">
        <v>21</v>
      </c>
      <c r="N5" t="s">
        <v>31</v>
      </c>
      <c r="O5" t="s">
        <v>35</v>
      </c>
      <c r="P5" t="s">
        <v>32</v>
      </c>
      <c r="Q5" t="s">
        <v>33</v>
      </c>
      <c r="R5" t="s">
        <v>34</v>
      </c>
      <c r="T5" t="s">
        <v>36</v>
      </c>
    </row>
    <row r="6" spans="1:20" x14ac:dyDescent="0.3">
      <c r="A6" s="3" t="s">
        <v>1</v>
      </c>
      <c r="B6" s="4">
        <v>10</v>
      </c>
      <c r="C6" s="4">
        <v>75</v>
      </c>
      <c r="D6" s="4">
        <v>23</v>
      </c>
      <c r="E6" s="4">
        <v>99</v>
      </c>
      <c r="G6" t="s">
        <v>24</v>
      </c>
      <c r="H6">
        <v>62.408190438946903</v>
      </c>
      <c r="I6">
        <v>41.534836384843302</v>
      </c>
      <c r="J6">
        <v>5</v>
      </c>
      <c r="M6">
        <f>(C6*B6+H6*J6)/(B6+J6)</f>
        <v>70.802730146315625</v>
      </c>
      <c r="N6" s="8">
        <f>100*(H6-C6)/C6</f>
        <v>-16.789079414737461</v>
      </c>
      <c r="O6" s="8">
        <f>B6+J6</f>
        <v>15</v>
      </c>
      <c r="P6" s="9">
        <f>I6/SQRT(O6)</f>
        <v>10.724248640396532</v>
      </c>
      <c r="Q6">
        <f>M6-_xlfn.T.INV.2T(0.05, O6)*P6</f>
        <v>47.944535255272413</v>
      </c>
      <c r="R6">
        <f>MIN(M6+_xlfn.T.INV.2T(0.05, O6)*P6,100)</f>
        <v>93.660925037358837</v>
      </c>
      <c r="T6" t="str">
        <f>_xlfn.CONCAT(ROUND(M6,0), " [",ROUND(Q6,0), ", ", ROUND(R6,0), "]")</f>
        <v>71 [48, 94]</v>
      </c>
    </row>
    <row r="7" spans="1:20" x14ac:dyDescent="0.3">
      <c r="A7" s="3" t="s">
        <v>2</v>
      </c>
      <c r="B7" s="4">
        <v>2</v>
      </c>
      <c r="C7" s="4">
        <v>95</v>
      </c>
      <c r="D7" s="4">
        <v>95</v>
      </c>
      <c r="E7" s="4">
        <v>99</v>
      </c>
      <c r="G7" t="s">
        <v>22</v>
      </c>
      <c r="H7">
        <v>88.543856770602105</v>
      </c>
      <c r="I7">
        <v>16.751400913575601</v>
      </c>
      <c r="J7">
        <v>5</v>
      </c>
      <c r="M7">
        <f>(C7*B7+H7*J7)/(B7+J7)</f>
        <v>90.388469121858648</v>
      </c>
      <c r="N7" s="8">
        <f t="shared" ref="N7:N9" si="0">100*(H7-C7)/C7</f>
        <v>-6.7959402414714685</v>
      </c>
      <c r="O7" s="8">
        <f t="shared" ref="O7:O10" si="1">B7+J7</f>
        <v>7</v>
      </c>
      <c r="P7" s="9">
        <f t="shared" ref="P7:P10" si="2">I7/SQRT(O7)</f>
        <v>6.3314344184658893</v>
      </c>
      <c r="Q7">
        <f t="shared" ref="Q7:Q10" si="3">M7-_xlfn.T.INV.2T(0.05, O7)*P7</f>
        <v>75.417005748584941</v>
      </c>
      <c r="R7">
        <f t="shared" ref="R7:R10" si="4">MIN(M7+_xlfn.T.INV.2T(0.05, O7)*P7,100)</f>
        <v>100</v>
      </c>
      <c r="T7" t="str">
        <f t="shared" ref="T7:T10" si="5">_xlfn.CONCAT(ROUND(M7,0), " [",ROUND(Q7,0), ", ", ROUND(R7,0), "]")</f>
        <v>90 [75, 100]</v>
      </c>
    </row>
    <row r="8" spans="1:20" x14ac:dyDescent="0.3">
      <c r="A8" s="3" t="s">
        <v>3</v>
      </c>
      <c r="B8" s="4">
        <v>4</v>
      </c>
      <c r="C8" s="4">
        <v>64</v>
      </c>
      <c r="D8" s="4">
        <v>38</v>
      </c>
      <c r="E8" s="4">
        <v>90</v>
      </c>
      <c r="G8" t="s">
        <v>18</v>
      </c>
      <c r="H8">
        <v>32.021294169537001</v>
      </c>
      <c r="I8">
        <v>39.092223410666698</v>
      </c>
      <c r="J8">
        <v>1</v>
      </c>
      <c r="M8">
        <f>(C8*B8+H8*J8)/(B8+J8)</f>
        <v>57.604258833907394</v>
      </c>
      <c r="N8" s="8">
        <f>100*(H8-C8)/C8</f>
        <v>-49.966727860098437</v>
      </c>
      <c r="O8" s="8">
        <f t="shared" si="1"/>
        <v>5</v>
      </c>
      <c r="P8" s="9">
        <f t="shared" si="2"/>
        <v>17.48257378757188</v>
      </c>
      <c r="Q8">
        <f t="shared" si="3"/>
        <v>12.663872215403543</v>
      </c>
      <c r="R8">
        <f t="shared" si="4"/>
        <v>100</v>
      </c>
      <c r="T8" t="str">
        <f t="shared" si="5"/>
        <v>58 [13, 100]</v>
      </c>
    </row>
    <row r="9" spans="1:20" x14ac:dyDescent="0.3">
      <c r="A9" s="3" t="s">
        <v>0</v>
      </c>
      <c r="B9" s="4">
        <v>12</v>
      </c>
      <c r="C9" s="5">
        <v>36.166666666666664</v>
      </c>
      <c r="D9" s="4">
        <v>0</v>
      </c>
      <c r="E9" s="4">
        <v>75</v>
      </c>
      <c r="G9" t="s">
        <v>17</v>
      </c>
      <c r="H9">
        <v>22.852927062666801</v>
      </c>
      <c r="I9">
        <v>57.598256587896799</v>
      </c>
      <c r="J9">
        <v>5</v>
      </c>
      <c r="M9">
        <f>(C9*B9+H9*J9)/(B9+J9)</f>
        <v>32.250860900784353</v>
      </c>
      <c r="N9" s="8">
        <f t="shared" si="0"/>
        <v>-36.812183236865984</v>
      </c>
      <c r="O9" s="8">
        <f t="shared" si="1"/>
        <v>17</v>
      </c>
      <c r="P9" s="9">
        <f t="shared" si="2"/>
        <v>13.969629162548634</v>
      </c>
      <c r="Q9">
        <f t="shared" si="3"/>
        <v>2.7775196770846513</v>
      </c>
      <c r="R9">
        <f t="shared" si="4"/>
        <v>61.724202124484052</v>
      </c>
      <c r="T9" t="str">
        <f t="shared" si="5"/>
        <v>32 [3, 62]</v>
      </c>
    </row>
    <row r="10" spans="1:20" x14ac:dyDescent="0.3">
      <c r="A10" s="3"/>
      <c r="G10" t="s">
        <v>25</v>
      </c>
      <c r="H10">
        <v>43.744308969184402</v>
      </c>
      <c r="I10">
        <v>22.843474281528799</v>
      </c>
      <c r="J10">
        <v>6</v>
      </c>
      <c r="M10">
        <f>H10</f>
        <v>43.744308969184402</v>
      </c>
      <c r="N10" s="8"/>
      <c r="O10" s="8">
        <f t="shared" si="1"/>
        <v>6</v>
      </c>
      <c r="P10" s="9">
        <f t="shared" si="2"/>
        <v>9.325809323689354</v>
      </c>
      <c r="Q10">
        <f t="shared" si="3"/>
        <v>20.924875613530666</v>
      </c>
      <c r="R10">
        <f t="shared" si="4"/>
        <v>66.563742324838131</v>
      </c>
      <c r="T10" t="str">
        <f t="shared" si="5"/>
        <v>44 [21, 67]</v>
      </c>
    </row>
    <row r="11" spans="1:20" x14ac:dyDescent="0.3">
      <c r="A11" s="3"/>
    </row>
    <row r="12" spans="1:20" x14ac:dyDescent="0.3">
      <c r="A12" s="3"/>
    </row>
    <row r="1048565" spans="1:1" x14ac:dyDescent="0.3">
      <c r="A1048565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E847-4537-48AE-B9AE-83B9CCAEBD54}">
  <dimension ref="A1:E11"/>
  <sheetViews>
    <sheetView workbookViewId="0">
      <selection activeCell="E11" sqref="A1:E11"/>
    </sheetView>
  </sheetViews>
  <sheetFormatPr defaultRowHeight="14.4" x14ac:dyDescent="0.3"/>
  <cols>
    <col min="2" max="2" width="37.88671875" bestFit="1" customWidth="1"/>
  </cols>
  <sheetData>
    <row r="1" spans="1:5" x14ac:dyDescent="0.3"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>
        <v>1</v>
      </c>
      <c r="B2" t="s">
        <v>22</v>
      </c>
      <c r="C2">
        <v>88.543856770602105</v>
      </c>
      <c r="D2">
        <v>16.751400913575601</v>
      </c>
      <c r="E2">
        <v>5</v>
      </c>
    </row>
    <row r="3" spans="1:5" x14ac:dyDescent="0.3">
      <c r="A3">
        <v>2</v>
      </c>
      <c r="B3" t="s">
        <v>23</v>
      </c>
      <c r="C3">
        <v>61.913580003765702</v>
      </c>
      <c r="D3">
        <v>19.269720860445702</v>
      </c>
      <c r="E3">
        <v>8</v>
      </c>
    </row>
    <row r="4" spans="1:5" x14ac:dyDescent="0.3">
      <c r="A4">
        <v>3</v>
      </c>
      <c r="B4" t="s">
        <v>24</v>
      </c>
      <c r="C4">
        <v>62.408190438946903</v>
      </c>
      <c r="D4">
        <v>41.534836384843302</v>
      </c>
      <c r="E4">
        <v>5</v>
      </c>
    </row>
    <row r="5" spans="1:5" x14ac:dyDescent="0.3">
      <c r="A5">
        <v>4</v>
      </c>
      <c r="B5" t="s">
        <v>25</v>
      </c>
      <c r="C5">
        <v>43.744308969184402</v>
      </c>
      <c r="D5">
        <v>22.843474281528799</v>
      </c>
      <c r="E5">
        <v>6</v>
      </c>
    </row>
    <row r="6" spans="1:5" x14ac:dyDescent="0.3">
      <c r="A6">
        <v>5</v>
      </c>
      <c r="B6" t="s">
        <v>17</v>
      </c>
      <c r="C6">
        <v>22.852927062666801</v>
      </c>
      <c r="D6">
        <v>57.598256587896799</v>
      </c>
      <c r="E6">
        <v>5</v>
      </c>
    </row>
    <row r="7" spans="1:5" x14ac:dyDescent="0.3">
      <c r="A7">
        <v>6</v>
      </c>
      <c r="B7" t="s">
        <v>26</v>
      </c>
      <c r="C7">
        <v>24.939647557893899</v>
      </c>
      <c r="D7">
        <v>21.000650269441401</v>
      </c>
      <c r="E7">
        <v>3</v>
      </c>
    </row>
    <row r="8" spans="1:5" x14ac:dyDescent="0.3">
      <c r="A8">
        <v>7</v>
      </c>
      <c r="B8" t="s">
        <v>27</v>
      </c>
      <c r="C8">
        <v>18.590161587020901</v>
      </c>
      <c r="D8">
        <v>19.677645807845099</v>
      </c>
      <c r="E8">
        <v>3</v>
      </c>
    </row>
    <row r="9" spans="1:5" x14ac:dyDescent="0.3">
      <c r="A9">
        <v>8</v>
      </c>
      <c r="B9" t="s">
        <v>18</v>
      </c>
      <c r="C9">
        <v>32.021294169537001</v>
      </c>
      <c r="D9">
        <v>39.092223410666698</v>
      </c>
      <c r="E9">
        <v>1</v>
      </c>
    </row>
    <row r="10" spans="1:5" x14ac:dyDescent="0.3">
      <c r="A10">
        <v>9</v>
      </c>
      <c r="B10" t="s">
        <v>28</v>
      </c>
      <c r="C10">
        <v>36.567716640085102</v>
      </c>
      <c r="D10">
        <v>17.959251720801401</v>
      </c>
      <c r="E10">
        <v>2</v>
      </c>
    </row>
    <row r="11" spans="1:5" x14ac:dyDescent="0.3">
      <c r="A11">
        <v>10</v>
      </c>
      <c r="B11" t="s">
        <v>29</v>
      </c>
      <c r="C11">
        <v>48.3597493549576</v>
      </c>
      <c r="D11" t="s">
        <v>30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avg.data</vt:lpstr>
      <vt:lpstr>new data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Sasha D. Hafner</cp:lastModifiedBy>
  <dcterms:created xsi:type="dcterms:W3CDTF">2025-01-16T17:48:32Z</dcterms:created>
  <dcterms:modified xsi:type="dcterms:W3CDTF">2025-04-21T22:46:42Z</dcterms:modified>
</cp:coreProperties>
</file>