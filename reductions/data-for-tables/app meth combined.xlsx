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83430_uni_au_dk/Documents/Documents/GitHub/GD-NH3/reductions/data-for-tables/"/>
    </mc:Choice>
  </mc:AlternateContent>
  <xr:revisionPtr revIDLastSave="208" documentId="8_{5E20B5B0-32C7-431D-8683-E50ABE62E15A}" xr6:coauthVersionLast="47" xr6:coauthVersionMax="47" xr10:uidLastSave="{4DCA27FB-61FD-4CF8-8015-43D64B8D0CAB}"/>
  <bookViews>
    <workbookView xWindow="-110" yWindow="-110" windowWidth="19420" windowHeight="11500" activeTab="1" xr2:uid="{7C63DCD4-7913-4208-A171-6214FA8E3972}"/>
  </bookViews>
  <sheets>
    <sheet name="info" sheetId="2" r:id="rId1"/>
    <sheet name="avg.data" sheetId="3" r:id="rId2"/>
    <sheet name="new 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3" l="1"/>
  <c r="M7" i="3"/>
  <c r="M9" i="3"/>
  <c r="M8" i="3"/>
</calcChain>
</file>

<file path=xl/sharedStrings.xml><?xml version="1.0" encoding="utf-8"?>
<sst xmlns="http://schemas.openxmlformats.org/spreadsheetml/2006/main" count="47" uniqueCount="33">
  <si>
    <t>Trail hose</t>
  </si>
  <si>
    <t>Slot Injec.</t>
  </si>
  <si>
    <t>Deep Injec</t>
  </si>
  <si>
    <t>Trail shoe</t>
  </si>
  <si>
    <t>papers</t>
  </si>
  <si>
    <t>app.tech</t>
  </si>
  <si>
    <t>mean.red</t>
  </si>
  <si>
    <t>range.min</t>
  </si>
  <si>
    <t>range.max</t>
  </si>
  <si>
    <t>Data for table XX in Chapter 7 in the updated GD</t>
  </si>
  <si>
    <t>Old' data is from ../data/lit_2014</t>
  </si>
  <si>
    <t>New' data is from ../output/app.tech</t>
  </si>
  <si>
    <t>Old data</t>
  </si>
  <si>
    <t>com</t>
  </si>
  <si>
    <t>red.avg</t>
  </si>
  <si>
    <t>red.sd</t>
  </si>
  <si>
    <t>study.no</t>
  </si>
  <si>
    <t>surface broadcast - banding</t>
  </si>
  <si>
    <t>surface broadcast - Trailing shoe</t>
  </si>
  <si>
    <t>New data</t>
  </si>
  <si>
    <t>Combined</t>
  </si>
  <si>
    <t>avg</t>
  </si>
  <si>
    <t>surface broadcast - closed slot injection</t>
  </si>
  <si>
    <t>surface broadcast - broadcast / incorporation</t>
  </si>
  <si>
    <t>surface broadcast - open slot injection</t>
  </si>
  <si>
    <t>surface broadcast - Banded / aeration</t>
  </si>
  <si>
    <t>banding - open slot injection</t>
  </si>
  <si>
    <t>banding - Trailing shoe</t>
  </si>
  <si>
    <t>surface broadcast - broadcast / aeration</t>
  </si>
  <si>
    <t>banding - Banded / aeration</t>
  </si>
  <si>
    <t>NA</t>
  </si>
  <si>
    <t>THIS on cat 2</t>
  </si>
  <si>
    <t>This on Cat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</si>
</sst>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rgb="FF0000FF"/>
      <name val="Times New Roman"/>
      <family val="1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1" fontId="1" fillId="0" borderId="0" xfId="0" applyNumberFormat="1" applyFont="1" applyAlignment="1">
      <alignment horizontal="right" vertical="center" wrapText="1"/>
    </xf>
    <xf numFmtId="0" fontId="3" fillId="0" borderId="0" xfId="0" quotePrefix="1" applyFont="1" applyAlignment="1">
      <alignment horizontal="justify" vertical="center"/>
    </xf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B58A-D4CA-478A-9675-C91FBFEFB3AE}">
  <dimension ref="B3:B10"/>
  <sheetViews>
    <sheetView workbookViewId="0">
      <selection activeCell="B6" sqref="B6"/>
    </sheetView>
  </sheetViews>
  <sheetFormatPr defaultRowHeight="14.5" x14ac:dyDescent="0.35"/>
  <cols>
    <col min="2" max="2" width="43.54296875" bestFit="1" customWidth="1"/>
  </cols>
  <sheetData>
    <row r="3" spans="2:2" x14ac:dyDescent="0.35">
      <c r="B3" t="s">
        <v>9</v>
      </c>
    </row>
    <row r="4" spans="2:2" x14ac:dyDescent="0.35">
      <c r="B4" s="2"/>
    </row>
    <row r="5" spans="2:2" x14ac:dyDescent="0.35">
      <c r="B5" s="6" t="s">
        <v>10</v>
      </c>
    </row>
    <row r="6" spans="2:2" x14ac:dyDescent="0.35">
      <c r="B6" s="6" t="s">
        <v>11</v>
      </c>
    </row>
    <row r="7" spans="2:2" x14ac:dyDescent="0.35">
      <c r="B7" s="2"/>
    </row>
    <row r="8" spans="2:2" x14ac:dyDescent="0.35">
      <c r="B8" s="2"/>
    </row>
    <row r="9" spans="2:2" x14ac:dyDescent="0.35">
      <c r="B9" s="2"/>
    </row>
    <row r="10" spans="2:2" x14ac:dyDescent="0.35">
      <c r="B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1CA5-1FB4-4DAD-BBC1-66FB61386D09}">
  <dimension ref="A1:M1048565"/>
  <sheetViews>
    <sheetView tabSelected="1" topLeftCell="A3" zoomScale="79" zoomScaleNormal="190" workbookViewId="0">
      <selection activeCell="G25" sqref="G25"/>
    </sheetView>
  </sheetViews>
  <sheetFormatPr defaultRowHeight="14.5" x14ac:dyDescent="0.35"/>
  <cols>
    <col min="1" max="1" width="20.26953125" customWidth="1"/>
    <col min="2" max="2" width="11.7265625" bestFit="1" customWidth="1"/>
    <col min="3" max="3" width="14.81640625" bestFit="1" customWidth="1"/>
    <col min="4" max="4" width="12.453125" customWidth="1"/>
    <col min="5" max="5" width="14.453125" customWidth="1"/>
    <col min="6" max="6" width="12.453125" customWidth="1"/>
    <col min="7" max="7" width="26.81640625" bestFit="1" customWidth="1"/>
  </cols>
  <sheetData>
    <row r="1" spans="1:13" ht="30" customHeight="1" x14ac:dyDescent="0.35"/>
    <row r="3" spans="1:13" x14ac:dyDescent="0.35">
      <c r="A3" s="7" t="s">
        <v>12</v>
      </c>
      <c r="G3" s="7" t="s">
        <v>19</v>
      </c>
      <c r="M3" s="7" t="s">
        <v>20</v>
      </c>
    </row>
    <row r="4" spans="1:13" x14ac:dyDescent="0.35">
      <c r="C4" s="4"/>
    </row>
    <row r="5" spans="1:13" x14ac:dyDescent="0.35">
      <c r="A5" s="3" t="s">
        <v>5</v>
      </c>
      <c r="B5" s="3" t="s">
        <v>4</v>
      </c>
      <c r="C5" s="3" t="s">
        <v>6</v>
      </c>
      <c r="D5" s="3" t="s">
        <v>7</v>
      </c>
      <c r="E5" s="3" t="s">
        <v>8</v>
      </c>
      <c r="G5" t="s">
        <v>13</v>
      </c>
      <c r="H5" t="s">
        <v>14</v>
      </c>
      <c r="I5" t="s">
        <v>15</v>
      </c>
      <c r="J5" t="s">
        <v>16</v>
      </c>
      <c r="M5" t="s">
        <v>21</v>
      </c>
    </row>
    <row r="6" spans="1:13" x14ac:dyDescent="0.35">
      <c r="A6" s="3" t="s">
        <v>1</v>
      </c>
      <c r="B6" s="4">
        <v>10</v>
      </c>
      <c r="C6" s="4">
        <v>75</v>
      </c>
      <c r="D6" s="4">
        <v>23</v>
      </c>
      <c r="E6" s="4">
        <v>99</v>
      </c>
      <c r="G6" t="s">
        <v>24</v>
      </c>
      <c r="H6">
        <v>62.408190438946903</v>
      </c>
      <c r="I6">
        <v>41.534836384843302</v>
      </c>
      <c r="J6">
        <v>5</v>
      </c>
      <c r="M6">
        <f>(C6*B6+H6*J6)/(B6+J6)</f>
        <v>70.802730146315625</v>
      </c>
    </row>
    <row r="7" spans="1:13" x14ac:dyDescent="0.35">
      <c r="A7" s="3" t="s">
        <v>2</v>
      </c>
      <c r="B7" s="4">
        <v>2</v>
      </c>
      <c r="C7" s="4">
        <v>95</v>
      </c>
      <c r="D7" s="4">
        <v>95</v>
      </c>
      <c r="E7" s="4">
        <v>99</v>
      </c>
      <c r="G7" t="s">
        <v>22</v>
      </c>
      <c r="H7">
        <v>88.543856770602105</v>
      </c>
      <c r="I7">
        <v>16.751400913575601</v>
      </c>
      <c r="J7">
        <v>5</v>
      </c>
      <c r="M7">
        <f>(C7*B7+H7*J7)/(B7+J7)</f>
        <v>90.388469121858648</v>
      </c>
    </row>
    <row r="8" spans="1:13" x14ac:dyDescent="0.35">
      <c r="A8" s="3" t="s">
        <v>3</v>
      </c>
      <c r="B8" s="4">
        <v>4</v>
      </c>
      <c r="C8" s="4">
        <v>64</v>
      </c>
      <c r="D8" s="4">
        <v>38</v>
      </c>
      <c r="E8" s="4">
        <v>90</v>
      </c>
      <c r="G8" t="s">
        <v>18</v>
      </c>
      <c r="H8">
        <v>32.021294169537001</v>
      </c>
      <c r="I8">
        <v>39.092223410666698</v>
      </c>
      <c r="J8">
        <v>1</v>
      </c>
      <c r="M8">
        <f>(C8*B8+H8*J8)/(B8+J8)</f>
        <v>57.604258833907394</v>
      </c>
    </row>
    <row r="9" spans="1:13" x14ac:dyDescent="0.35">
      <c r="A9" s="3" t="s">
        <v>0</v>
      </c>
      <c r="B9" s="4">
        <v>12</v>
      </c>
      <c r="C9" s="5">
        <v>36.166666666666664</v>
      </c>
      <c r="D9" s="4">
        <v>0</v>
      </c>
      <c r="E9" s="4">
        <v>75</v>
      </c>
      <c r="G9" t="s">
        <v>17</v>
      </c>
      <c r="H9">
        <v>22.852927062666801</v>
      </c>
      <c r="I9">
        <v>57.598256587896799</v>
      </c>
      <c r="J9">
        <v>5</v>
      </c>
      <c r="M9">
        <f>(C9*B9+H9*J9)/(B9+J9)</f>
        <v>32.250860900784353</v>
      </c>
    </row>
    <row r="10" spans="1:13" x14ac:dyDescent="0.35">
      <c r="A10" s="3"/>
    </row>
    <row r="11" spans="1:13" x14ac:dyDescent="0.35">
      <c r="A11" s="3"/>
    </row>
    <row r="12" spans="1:13" x14ac:dyDescent="0.35">
      <c r="A12" s="3"/>
    </row>
    <row r="13" spans="1:13" x14ac:dyDescent="0.35">
      <c r="G13" t="s">
        <v>13</v>
      </c>
      <c r="H13" t="s">
        <v>14</v>
      </c>
      <c r="I13" t="s">
        <v>15</v>
      </c>
      <c r="J13" t="s">
        <v>16</v>
      </c>
    </row>
    <row r="17" spans="7:12" x14ac:dyDescent="0.35">
      <c r="G17" s="8" t="s">
        <v>25</v>
      </c>
      <c r="H17" s="8">
        <v>43.744308969184402</v>
      </c>
      <c r="I17" s="8">
        <v>22.843474281528799</v>
      </c>
      <c r="J17" s="8">
        <v>6</v>
      </c>
      <c r="K17" s="8"/>
      <c r="L17" s="8" t="s">
        <v>32</v>
      </c>
    </row>
    <row r="18" spans="7:12" x14ac:dyDescent="0.35">
      <c r="G18" s="8"/>
      <c r="H18" s="8"/>
      <c r="I18" s="8"/>
      <c r="J18" s="8"/>
      <c r="K18" s="8"/>
      <c r="L18" s="8"/>
    </row>
    <row r="19" spans="7:12" x14ac:dyDescent="0.35">
      <c r="G19" s="8"/>
      <c r="H19" s="8"/>
      <c r="I19" s="8"/>
      <c r="J19" s="8"/>
      <c r="K19" s="8"/>
      <c r="L19" s="8"/>
    </row>
    <row r="20" spans="7:12" x14ac:dyDescent="0.35">
      <c r="G20" s="8"/>
      <c r="H20" s="8"/>
      <c r="I20" s="8"/>
      <c r="J20" s="8"/>
      <c r="K20" s="8"/>
      <c r="L20" s="8"/>
    </row>
    <row r="21" spans="7:12" x14ac:dyDescent="0.35">
      <c r="G21" s="8"/>
      <c r="H21" s="8"/>
      <c r="I21" s="8"/>
      <c r="J21" s="8"/>
      <c r="K21" s="8"/>
      <c r="L21" s="8"/>
    </row>
    <row r="22" spans="7:12" x14ac:dyDescent="0.35">
      <c r="G22" s="8" t="s">
        <v>28</v>
      </c>
      <c r="H22" s="8">
        <v>36.567716640085102</v>
      </c>
      <c r="I22" s="8">
        <v>17.959251720801401</v>
      </c>
      <c r="J22" s="8">
        <v>2</v>
      </c>
      <c r="K22" s="8"/>
      <c r="L22" s="8" t="s">
        <v>31</v>
      </c>
    </row>
    <row r="1048565" spans="1:1" x14ac:dyDescent="0.35">
      <c r="A1048565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E847-4537-48AE-B9AE-83B9CCAEBD54}">
  <dimension ref="A1:E11"/>
  <sheetViews>
    <sheetView workbookViewId="0">
      <selection activeCell="E11" sqref="A1:E11"/>
    </sheetView>
  </sheetViews>
  <sheetFormatPr defaultRowHeight="14.5" x14ac:dyDescent="0.35"/>
  <cols>
    <col min="2" max="2" width="37.81640625" bestFit="1" customWidth="1"/>
  </cols>
  <sheetData>
    <row r="1" spans="1:5" x14ac:dyDescent="0.35">
      <c r="B1" t="s">
        <v>13</v>
      </c>
      <c r="C1" t="s">
        <v>14</v>
      </c>
      <c r="D1" t="s">
        <v>15</v>
      </c>
      <c r="E1" t="s">
        <v>16</v>
      </c>
    </row>
    <row r="2" spans="1:5" x14ac:dyDescent="0.35">
      <c r="A2">
        <v>1</v>
      </c>
      <c r="B2" t="s">
        <v>22</v>
      </c>
      <c r="C2">
        <v>88.543856770602105</v>
      </c>
      <c r="D2">
        <v>16.751400913575601</v>
      </c>
      <c r="E2">
        <v>5</v>
      </c>
    </row>
    <row r="3" spans="1:5" x14ac:dyDescent="0.35">
      <c r="A3">
        <v>2</v>
      </c>
      <c r="B3" t="s">
        <v>23</v>
      </c>
      <c r="C3">
        <v>61.913580003765702</v>
      </c>
      <c r="D3">
        <v>19.269720860445702</v>
      </c>
      <c r="E3">
        <v>8</v>
      </c>
    </row>
    <row r="4" spans="1:5" x14ac:dyDescent="0.35">
      <c r="A4">
        <v>3</v>
      </c>
      <c r="B4" t="s">
        <v>24</v>
      </c>
      <c r="C4">
        <v>62.408190438946903</v>
      </c>
      <c r="D4">
        <v>41.534836384843302</v>
      </c>
      <c r="E4">
        <v>5</v>
      </c>
    </row>
    <row r="5" spans="1:5" x14ac:dyDescent="0.35">
      <c r="A5">
        <v>4</v>
      </c>
      <c r="B5" t="s">
        <v>25</v>
      </c>
      <c r="C5">
        <v>43.744308969184402</v>
      </c>
      <c r="D5">
        <v>22.843474281528799</v>
      </c>
      <c r="E5">
        <v>6</v>
      </c>
    </row>
    <row r="6" spans="1:5" x14ac:dyDescent="0.35">
      <c r="A6">
        <v>5</v>
      </c>
      <c r="B6" t="s">
        <v>17</v>
      </c>
      <c r="C6">
        <v>22.852927062666801</v>
      </c>
      <c r="D6">
        <v>57.598256587896799</v>
      </c>
      <c r="E6">
        <v>5</v>
      </c>
    </row>
    <row r="7" spans="1:5" x14ac:dyDescent="0.35">
      <c r="A7">
        <v>6</v>
      </c>
      <c r="B7" t="s">
        <v>26</v>
      </c>
      <c r="C7">
        <v>24.939647557893899</v>
      </c>
      <c r="D7">
        <v>21.000650269441401</v>
      </c>
      <c r="E7">
        <v>3</v>
      </c>
    </row>
    <row r="8" spans="1:5" x14ac:dyDescent="0.35">
      <c r="A8">
        <v>7</v>
      </c>
      <c r="B8" t="s">
        <v>27</v>
      </c>
      <c r="C8">
        <v>18.590161587020901</v>
      </c>
      <c r="D8">
        <v>19.677645807845099</v>
      </c>
      <c r="E8">
        <v>3</v>
      </c>
    </row>
    <row r="9" spans="1:5" x14ac:dyDescent="0.35">
      <c r="A9">
        <v>8</v>
      </c>
      <c r="B9" t="s">
        <v>18</v>
      </c>
      <c r="C9">
        <v>32.021294169537001</v>
      </c>
      <c r="D9">
        <v>39.092223410666698</v>
      </c>
      <c r="E9">
        <v>1</v>
      </c>
    </row>
    <row r="10" spans="1:5" x14ac:dyDescent="0.35">
      <c r="A10">
        <v>9</v>
      </c>
      <c r="B10" t="s">
        <v>28</v>
      </c>
      <c r="C10">
        <v>36.567716640085102</v>
      </c>
      <c r="D10">
        <v>17.959251720801401</v>
      </c>
      <c r="E10">
        <v>2</v>
      </c>
    </row>
    <row r="11" spans="1:5" x14ac:dyDescent="0.35">
      <c r="A11">
        <v>10</v>
      </c>
      <c r="B11" t="s">
        <v>29</v>
      </c>
      <c r="C11">
        <v>48.3597493549576</v>
      </c>
      <c r="D11" t="s">
        <v>30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avg.data</vt:lpstr>
      <vt:lpstr>new data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Pedersen</dc:creator>
  <cp:lastModifiedBy>Johanna Pedersen</cp:lastModifiedBy>
  <dcterms:created xsi:type="dcterms:W3CDTF">2025-01-16T17:48:32Z</dcterms:created>
  <dcterms:modified xsi:type="dcterms:W3CDTF">2025-01-27T21:20:12Z</dcterms:modified>
</cp:coreProperties>
</file>