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83430_uni_au_dk/Documents/Documents/GitHub/GD-NH3/reductions/scripts-app-tech/"/>
    </mc:Choice>
  </mc:AlternateContent>
  <xr:revisionPtr revIDLastSave="169" documentId="8_{5E20B5B0-32C7-431D-8683-E50ABE62E15A}" xr6:coauthVersionLast="47" xr6:coauthVersionMax="47" xr10:uidLastSave="{A483E63B-605B-43C6-BCBF-32CDF52293B8}"/>
  <bookViews>
    <workbookView xWindow="2235" yWindow="1560" windowWidth="21600" windowHeight="10935" activeTab="1" xr2:uid="{7C63DCD4-7913-4208-A171-6214FA8E3972}"/>
  </bookViews>
  <sheets>
    <sheet name="info" sheetId="2" r:id="rId1"/>
    <sheet name="avg.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3" l="1"/>
  <c r="M8" i="3"/>
</calcChain>
</file>

<file path=xl/sharedStrings.xml><?xml version="1.0" encoding="utf-8"?>
<sst xmlns="http://schemas.openxmlformats.org/spreadsheetml/2006/main" count="23" uniqueCount="23">
  <si>
    <t>Trail hose</t>
  </si>
  <si>
    <t>Slot Injec.</t>
  </si>
  <si>
    <t>Deep Injec</t>
  </si>
  <si>
    <t>Trail shoe</t>
  </si>
  <si>
    <t>papers</t>
  </si>
  <si>
    <t>app.tech</t>
  </si>
  <si>
    <t>mean.red</t>
  </si>
  <si>
    <t>range.min</t>
  </si>
  <si>
    <t>range.max</t>
  </si>
  <si>
    <t>Data for table XX in Chapter 7 in the updated GD</t>
  </si>
  <si>
    <t>Old' data is from ../data/lit_2014</t>
  </si>
  <si>
    <t>New' data is from ../output/app.tech</t>
  </si>
  <si>
    <t>Old data</t>
  </si>
  <si>
    <t>com</t>
  </si>
  <si>
    <t>red.avg</t>
  </si>
  <si>
    <t>red.sd</t>
  </si>
  <si>
    <t>study.no</t>
  </si>
  <si>
    <t>surface broadcast - injection</t>
  </si>
  <si>
    <t>surface broadcast - banding</t>
  </si>
  <si>
    <t>surface broadcast - Trailing shoe</t>
  </si>
  <si>
    <t>New data</t>
  </si>
  <si>
    <t>Combined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</si>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</sst>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1" fontId="1" fillId="0" borderId="0" xfId="0" applyNumberFormat="1" applyFont="1" applyAlignment="1">
      <alignment horizontal="right" vertical="center" wrapText="1"/>
    </xf>
    <xf numFmtId="0" fontId="3" fillId="0" borderId="0" xfId="0" quotePrefix="1" applyFont="1" applyAlignment="1">
      <alignment horizontal="justify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B58A-D4CA-478A-9675-C91FBFEFB3AE}">
  <dimension ref="B3:B10"/>
  <sheetViews>
    <sheetView workbookViewId="0">
      <selection activeCell="B13" sqref="B13"/>
    </sheetView>
  </sheetViews>
  <sheetFormatPr defaultRowHeight="15" x14ac:dyDescent="0.25"/>
  <cols>
    <col min="2" max="2" width="43.5703125" bestFit="1" customWidth="1"/>
  </cols>
  <sheetData>
    <row r="3" spans="2:2" x14ac:dyDescent="0.25">
      <c r="B3" t="s">
        <v>9</v>
      </c>
    </row>
    <row r="4" spans="2:2" x14ac:dyDescent="0.25">
      <c r="B4" s="2"/>
    </row>
    <row r="5" spans="2:2" x14ac:dyDescent="0.25">
      <c r="B5" s="6" t="s">
        <v>10</v>
      </c>
    </row>
    <row r="6" spans="2:2" x14ac:dyDescent="0.25">
      <c r="B6" s="6" t="s">
        <v>11</v>
      </c>
    </row>
    <row r="7" spans="2:2" x14ac:dyDescent="0.25">
      <c r="B7" s="2"/>
    </row>
    <row r="8" spans="2:2" x14ac:dyDescent="0.25">
      <c r="B8" s="2"/>
    </row>
    <row r="9" spans="2:2" x14ac:dyDescent="0.25">
      <c r="B9" s="2"/>
    </row>
    <row r="10" spans="2:2" x14ac:dyDescent="0.25">
      <c r="B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1CA5-1FB4-4DAD-BBC1-66FB61386D09}">
  <dimension ref="A1:M1048565"/>
  <sheetViews>
    <sheetView tabSelected="1" zoomScale="79" zoomScaleNormal="190" workbookViewId="0">
      <selection activeCell="O13" sqref="O13"/>
    </sheetView>
  </sheetViews>
  <sheetFormatPr defaultRowHeight="15" x14ac:dyDescent="0.25"/>
  <cols>
    <col min="1" max="1" width="20.28515625" customWidth="1"/>
    <col min="2" max="2" width="11.7109375" bestFit="1" customWidth="1"/>
    <col min="3" max="3" width="14.85546875" bestFit="1" customWidth="1"/>
    <col min="4" max="4" width="12.42578125" customWidth="1"/>
    <col min="5" max="5" width="14.42578125" customWidth="1"/>
    <col min="6" max="6" width="12.42578125" customWidth="1"/>
    <col min="7" max="7" width="26.85546875" bestFit="1" customWidth="1"/>
  </cols>
  <sheetData>
    <row r="1" spans="1:13" ht="30" customHeight="1" x14ac:dyDescent="0.25"/>
    <row r="3" spans="1:13" x14ac:dyDescent="0.25">
      <c r="A3" s="7" t="s">
        <v>12</v>
      </c>
      <c r="G3" s="7" t="s">
        <v>20</v>
      </c>
      <c r="M3" s="7" t="s">
        <v>21</v>
      </c>
    </row>
    <row r="4" spans="1:13" x14ac:dyDescent="0.25">
      <c r="C4" s="4"/>
    </row>
    <row r="5" spans="1:13" x14ac:dyDescent="0.25">
      <c r="A5" s="3" t="s">
        <v>5</v>
      </c>
      <c r="B5" s="3" t="s">
        <v>4</v>
      </c>
      <c r="C5" s="3" t="s">
        <v>6</v>
      </c>
      <c r="D5" s="3" t="s">
        <v>7</v>
      </c>
      <c r="E5" s="3" t="s">
        <v>8</v>
      </c>
      <c r="G5" t="s">
        <v>13</v>
      </c>
      <c r="H5" t="s">
        <v>14</v>
      </c>
      <c r="I5" t="s">
        <v>15</v>
      </c>
      <c r="J5" t="s">
        <v>16</v>
      </c>
      <c r="M5" t="s">
        <v>22</v>
      </c>
    </row>
    <row r="6" spans="1:13" x14ac:dyDescent="0.25">
      <c r="A6" s="3" t="s">
        <v>1</v>
      </c>
      <c r="B6" s="4">
        <v>10</v>
      </c>
      <c r="C6" s="4">
        <v>75</v>
      </c>
      <c r="D6" s="4">
        <v>23</v>
      </c>
      <c r="E6" s="4">
        <v>99</v>
      </c>
      <c r="G6" t="s">
        <v>17</v>
      </c>
      <c r="H6">
        <v>75.662096289942795</v>
      </c>
      <c r="I6">
        <v>33.542224412802497</v>
      </c>
      <c r="J6">
        <v>11</v>
      </c>
    </row>
    <row r="7" spans="1:13" x14ac:dyDescent="0.25">
      <c r="A7" s="3" t="s">
        <v>2</v>
      </c>
      <c r="B7" s="4">
        <v>2</v>
      </c>
      <c r="C7" s="4">
        <v>95</v>
      </c>
      <c r="D7" s="4">
        <v>95</v>
      </c>
      <c r="E7" s="4">
        <v>99</v>
      </c>
    </row>
    <row r="8" spans="1:13" x14ac:dyDescent="0.25">
      <c r="A8" s="3" t="s">
        <v>3</v>
      </c>
      <c r="B8" s="4">
        <v>4</v>
      </c>
      <c r="C8" s="4">
        <v>64</v>
      </c>
      <c r="D8" s="4">
        <v>38</v>
      </c>
      <c r="E8" s="4">
        <v>90</v>
      </c>
      <c r="G8" t="s">
        <v>19</v>
      </c>
      <c r="H8">
        <v>32.021294169537001</v>
      </c>
      <c r="I8">
        <v>39.092223410666698</v>
      </c>
      <c r="J8">
        <v>1</v>
      </c>
      <c r="M8">
        <f>(C8*B8+H8*J8)/(4+1)</f>
        <v>57.604258833907394</v>
      </c>
    </row>
    <row r="9" spans="1:13" x14ac:dyDescent="0.25">
      <c r="A9" s="3" t="s">
        <v>0</v>
      </c>
      <c r="B9" s="4">
        <v>12</v>
      </c>
      <c r="C9" s="5">
        <v>36.166666666666664</v>
      </c>
      <c r="D9" s="4">
        <v>0</v>
      </c>
      <c r="E9" s="4">
        <v>75</v>
      </c>
      <c r="G9" t="s">
        <v>18</v>
      </c>
      <c r="H9">
        <v>22.852927062666801</v>
      </c>
      <c r="I9">
        <v>57.598256587896799</v>
      </c>
      <c r="J9">
        <v>5</v>
      </c>
      <c r="M9">
        <f>(C9*B9+H9*J9)/(B9+J9)</f>
        <v>32.250860900784353</v>
      </c>
    </row>
    <row r="10" spans="1:13" x14ac:dyDescent="0.25">
      <c r="A10" s="3"/>
    </row>
    <row r="11" spans="1:13" x14ac:dyDescent="0.25">
      <c r="A11" s="3"/>
    </row>
    <row r="12" spans="1:13" x14ac:dyDescent="0.25">
      <c r="A12" s="3"/>
    </row>
    <row r="1048565" spans="1:1" x14ac:dyDescent="0.25">
      <c r="A104856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avg.data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Pedersen</dc:creator>
  <cp:lastModifiedBy>Johanna Pedersen</cp:lastModifiedBy>
  <dcterms:created xsi:type="dcterms:W3CDTF">2025-01-16T17:48:32Z</dcterms:created>
  <dcterms:modified xsi:type="dcterms:W3CDTF">2025-01-24T08:46:37Z</dcterms:modified>
</cp:coreProperties>
</file>