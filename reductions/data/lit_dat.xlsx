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aarhusuniversitet-my.sharepoint.com/personal/au583430_uni_au_dk/Documents/Documents/GitHub/GD-NH3/reductions/data/"/>
    </mc:Choice>
  </mc:AlternateContent>
  <xr:revisionPtr revIDLastSave="219" documentId="8_{7C4171F8-D199-4843-B714-C3F258BC4D93}" xr6:coauthVersionLast="47" xr6:coauthVersionMax="47" xr10:uidLastSave="{D484913B-73F5-43B3-A6A4-9D9DF7B62CB7}"/>
  <bookViews>
    <workbookView xWindow="-110" yWindow="-110" windowWidth="19420" windowHeight="11500" activeTab="1" xr2:uid="{DF353E34-80BC-440D-84E6-1A1BEACE8767}"/>
  </bookViews>
  <sheets>
    <sheet name="Variable explanation" sheetId="2" r:id="rId1"/>
    <sheet name="Database to use" sheetId="15" r:id="rId2"/>
  </sheets>
  <definedNames>
    <definedName name="_xlnm._FilterDatabase" localSheetId="1" hidden="1">'Database to use'!$A$1:$AY$321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15" l="1"/>
  <c r="AU6" i="15"/>
  <c r="AU7" i="15"/>
  <c r="AU8" i="15"/>
  <c r="AU9" i="15"/>
  <c r="AU10" i="15"/>
  <c r="AU11" i="15"/>
  <c r="AU12" i="15"/>
  <c r="AU13" i="15"/>
  <c r="AT273" i="15"/>
  <c r="X273" i="15"/>
  <c r="AR272" i="15"/>
  <c r="AT272" i="15" s="1"/>
  <c r="X272" i="15"/>
  <c r="AT271" i="15"/>
  <c r="AT270" i="15"/>
  <c r="AX269" i="15"/>
  <c r="AT269" i="15"/>
  <c r="AP269" i="15"/>
  <c r="AX268" i="15"/>
  <c r="AT268" i="15"/>
  <c r="AP268" i="15"/>
  <c r="AX267" i="15"/>
  <c r="AT267" i="15"/>
  <c r="AX266" i="15"/>
  <c r="AT266" i="15"/>
  <c r="AX265" i="15"/>
  <c r="AT265" i="15"/>
  <c r="AP265" i="15"/>
  <c r="AX264" i="15"/>
  <c r="AT264" i="15"/>
  <c r="AP264" i="15"/>
  <c r="AX263" i="15"/>
  <c r="AT263" i="15"/>
  <c r="AP263" i="15"/>
  <c r="AX262" i="15"/>
  <c r="AT262" i="15"/>
  <c r="AP262" i="15"/>
  <c r="AX261" i="15"/>
  <c r="AT261" i="15"/>
  <c r="AP261" i="15"/>
  <c r="AX260" i="15"/>
  <c r="AT260" i="15"/>
  <c r="AP260" i="15"/>
  <c r="AX259" i="15"/>
  <c r="AP259" i="15"/>
  <c r="AX258" i="15"/>
  <c r="AT258" i="15"/>
  <c r="AP258" i="15"/>
  <c r="AX257" i="15"/>
  <c r="AT257" i="15"/>
  <c r="AP257" i="15"/>
  <c r="AX256" i="15"/>
  <c r="AT256" i="15"/>
  <c r="AP256" i="15"/>
  <c r="AX255" i="15"/>
  <c r="AT255" i="15"/>
  <c r="AX254" i="15"/>
  <c r="AT254" i="15"/>
  <c r="AP254" i="15"/>
  <c r="AX253" i="15"/>
  <c r="AP253" i="15"/>
  <c r="AX252" i="15"/>
  <c r="AT252" i="15"/>
  <c r="AX251" i="15"/>
  <c r="AX250" i="15"/>
  <c r="AT250" i="15"/>
  <c r="AX249" i="15"/>
  <c r="AX248" i="15"/>
  <c r="AT248" i="15"/>
  <c r="AP248" i="15"/>
  <c r="AX247" i="15"/>
  <c r="AT247" i="15"/>
  <c r="AP247" i="15"/>
  <c r="AX246" i="15"/>
  <c r="AT246" i="15"/>
  <c r="AX245" i="15"/>
  <c r="AT245" i="15"/>
  <c r="AX244" i="15"/>
  <c r="AT244" i="15"/>
  <c r="AX243" i="15"/>
  <c r="AX242" i="15"/>
  <c r="AT242" i="15"/>
  <c r="AX241" i="15"/>
  <c r="AT241" i="15"/>
  <c r="AX240" i="15"/>
  <c r="AT240" i="15"/>
  <c r="AX239" i="15"/>
  <c r="AT239" i="15"/>
  <c r="AX238" i="15"/>
  <c r="AT238" i="15"/>
  <c r="AX237" i="15"/>
  <c r="AT237" i="15"/>
  <c r="AX236" i="15"/>
  <c r="AT236" i="15"/>
  <c r="AP236" i="15"/>
  <c r="AX235" i="15"/>
  <c r="AT235" i="15"/>
  <c r="AP235" i="15"/>
  <c r="AX234" i="15"/>
  <c r="AT234" i="15"/>
  <c r="AP234" i="15"/>
  <c r="AX233" i="15"/>
  <c r="AT233" i="15"/>
  <c r="AX232" i="15"/>
  <c r="AT232" i="15"/>
  <c r="AX231" i="15"/>
  <c r="AT231" i="15"/>
  <c r="AX230" i="15"/>
  <c r="AT230" i="15"/>
  <c r="AX229" i="15"/>
  <c r="AX228" i="15"/>
  <c r="AX227" i="15"/>
  <c r="AX226" i="15"/>
  <c r="AX225" i="15"/>
  <c r="AU224" i="15"/>
  <c r="AT224" i="15"/>
  <c r="AU223" i="15"/>
  <c r="AT223" i="15"/>
  <c r="AU222" i="15"/>
  <c r="AT222" i="15"/>
  <c r="AU221" i="15"/>
  <c r="AT221" i="15"/>
  <c r="AU220" i="15"/>
  <c r="AT220" i="15"/>
  <c r="AU219" i="15"/>
  <c r="AU218" i="15"/>
  <c r="AU217" i="15"/>
  <c r="AT216" i="15"/>
  <c r="AR216" i="15"/>
  <c r="X216" i="15"/>
  <c r="AT215" i="15"/>
  <c r="AR215" i="15"/>
  <c r="X215" i="15"/>
  <c r="AT214" i="15"/>
  <c r="AR214" i="15"/>
  <c r="X214" i="15"/>
  <c r="AT213" i="15"/>
  <c r="AT212" i="15"/>
  <c r="AT211" i="15"/>
  <c r="AT210" i="15"/>
  <c r="AT209" i="15"/>
  <c r="AT208" i="15"/>
  <c r="AT207" i="15"/>
  <c r="AT206" i="15"/>
  <c r="AT205" i="15"/>
  <c r="AT204" i="15"/>
  <c r="AT203" i="15"/>
  <c r="AT202" i="15"/>
  <c r="AT201" i="15"/>
  <c r="AT200" i="15"/>
  <c r="AT199" i="15"/>
  <c r="AT198" i="15"/>
  <c r="AT197" i="15"/>
  <c r="AT196" i="15"/>
  <c r="AT195" i="15"/>
  <c r="AT194" i="15"/>
  <c r="AT193" i="15"/>
  <c r="AT192" i="15"/>
  <c r="AT191" i="15"/>
  <c r="AT183" i="15"/>
  <c r="AT182" i="15"/>
  <c r="AT174" i="15"/>
  <c r="AT173" i="15"/>
  <c r="AT172" i="15"/>
  <c r="AT171" i="15"/>
  <c r="AT170" i="15"/>
  <c r="AT169" i="15"/>
  <c r="AT168" i="15"/>
  <c r="AT167" i="15"/>
  <c r="AT166" i="15"/>
  <c r="AR165" i="15"/>
  <c r="AT165" i="15" s="1"/>
  <c r="AR164" i="15"/>
  <c r="AT164" i="15" s="1"/>
  <c r="AR163" i="15"/>
  <c r="AT163" i="15" s="1"/>
  <c r="AR162" i="15"/>
  <c r="AT162" i="15" s="1"/>
  <c r="AT160" i="15"/>
  <c r="AT159" i="15"/>
  <c r="AT158" i="15"/>
  <c r="AT157" i="15"/>
  <c r="AT156" i="15"/>
  <c r="AT155" i="15"/>
  <c r="AT154" i="15"/>
  <c r="AT153" i="15"/>
  <c r="AT152" i="15"/>
  <c r="AT151" i="15"/>
  <c r="AT150" i="15"/>
  <c r="AT149" i="15"/>
  <c r="AT148" i="15"/>
  <c r="AT147" i="15"/>
  <c r="AT146" i="15"/>
  <c r="AT145" i="15"/>
  <c r="AT144" i="15"/>
  <c r="X144" i="15"/>
  <c r="AT143" i="15"/>
  <c r="X143" i="15"/>
  <c r="AT142" i="15"/>
  <c r="X142" i="15"/>
  <c r="AT141" i="15"/>
  <c r="X141" i="15"/>
  <c r="AT140" i="15"/>
  <c r="X140" i="15"/>
  <c r="AT139" i="15"/>
  <c r="X139" i="15"/>
  <c r="AT138" i="15"/>
  <c r="X138" i="15"/>
  <c r="AT137" i="15"/>
  <c r="X137" i="15"/>
  <c r="AT136" i="15"/>
  <c r="AR136" i="15"/>
  <c r="AO136" i="15"/>
  <c r="X136" i="15"/>
  <c r="AT135" i="15"/>
  <c r="AR135" i="15"/>
  <c r="AO135" i="15"/>
  <c r="X135" i="15"/>
  <c r="AT134" i="15"/>
  <c r="AR134" i="15"/>
  <c r="X134" i="15"/>
  <c r="AT133" i="15"/>
  <c r="AR133" i="15"/>
  <c r="X133" i="15"/>
  <c r="AT132" i="15"/>
  <c r="AR132" i="15"/>
  <c r="AO132" i="15"/>
  <c r="X132" i="15"/>
  <c r="AT131" i="15"/>
  <c r="AR131" i="15"/>
  <c r="AO131" i="15"/>
  <c r="X131" i="15"/>
  <c r="AT130" i="15"/>
  <c r="AR130" i="15"/>
  <c r="AO130" i="15"/>
  <c r="X130" i="15"/>
  <c r="AT129" i="15"/>
  <c r="AR129" i="15"/>
  <c r="AO129" i="15"/>
  <c r="X129" i="15"/>
  <c r="AT128" i="15"/>
  <c r="AR128" i="15"/>
  <c r="AO128" i="15"/>
  <c r="X128" i="15"/>
  <c r="AT127" i="15"/>
  <c r="AR127" i="15"/>
  <c r="AO127" i="15"/>
  <c r="X127" i="15"/>
  <c r="AT126" i="15"/>
  <c r="AR126" i="15"/>
  <c r="AO126" i="15"/>
  <c r="X126" i="15"/>
  <c r="AT125" i="15"/>
  <c r="AR125" i="15"/>
  <c r="AO125" i="15"/>
  <c r="X125" i="15"/>
  <c r="AT124" i="15"/>
  <c r="AR124" i="15"/>
  <c r="AO124" i="15"/>
  <c r="X124" i="15"/>
  <c r="AT123" i="15"/>
  <c r="AR123" i="15"/>
  <c r="AO123" i="15"/>
  <c r="X123" i="15"/>
  <c r="AT122" i="15"/>
  <c r="AR122" i="15"/>
  <c r="AO122" i="15"/>
  <c r="X122" i="15"/>
  <c r="AT121" i="15"/>
  <c r="AR121" i="15"/>
  <c r="AO121" i="15"/>
  <c r="X121" i="15"/>
  <c r="AT120" i="15"/>
  <c r="AR120" i="15"/>
  <c r="AO120" i="15"/>
  <c r="X120" i="15"/>
  <c r="AT119" i="15"/>
  <c r="AR119" i="15"/>
  <c r="X119" i="15"/>
  <c r="AT118" i="15"/>
  <c r="AR118" i="15"/>
  <c r="X118" i="15"/>
  <c r="AT117" i="15"/>
  <c r="AR117" i="15"/>
  <c r="X117" i="15"/>
  <c r="AT116" i="15"/>
  <c r="AR116" i="15"/>
  <c r="X116" i="15"/>
  <c r="AT115" i="15"/>
  <c r="AR115" i="15"/>
  <c r="X115" i="15"/>
  <c r="AT114" i="15"/>
  <c r="AR114" i="15"/>
  <c r="X114" i="15"/>
  <c r="AT113" i="15"/>
  <c r="AT112" i="15"/>
  <c r="AT111" i="15"/>
  <c r="AT110" i="15"/>
  <c r="AT109" i="15"/>
  <c r="AR108" i="15"/>
  <c r="AO108" i="15"/>
  <c r="AR107" i="15"/>
  <c r="AO107" i="15"/>
  <c r="AR106" i="15"/>
  <c r="AO106" i="15"/>
  <c r="AR105" i="15"/>
  <c r="AO105" i="15"/>
  <c r="AR104" i="15"/>
  <c r="AO104" i="15"/>
  <c r="AR103" i="15"/>
  <c r="AO103" i="15"/>
  <c r="AR102" i="15"/>
  <c r="AO102" i="15"/>
  <c r="AR101" i="15"/>
  <c r="AO101" i="15"/>
  <c r="AR100" i="15"/>
  <c r="AO100" i="15"/>
  <c r="AR99" i="15"/>
  <c r="AO99" i="15"/>
  <c r="AR98" i="15"/>
  <c r="AO98" i="15"/>
  <c r="AR97" i="15"/>
  <c r="AO97" i="15"/>
  <c r="AR96" i="15"/>
  <c r="AO96" i="15"/>
  <c r="AR95" i="15"/>
  <c r="AO95" i="15"/>
  <c r="AR94" i="15"/>
  <c r="AO94" i="15"/>
  <c r="AR93" i="15"/>
  <c r="AO93" i="15"/>
  <c r="AR92" i="15"/>
  <c r="AO92" i="15"/>
  <c r="AR91" i="15"/>
  <c r="AO91" i="15"/>
  <c r="AR90" i="15"/>
  <c r="AO90" i="15"/>
  <c r="AR89" i="15"/>
  <c r="AO89" i="15"/>
  <c r="AR88" i="15"/>
  <c r="AO88" i="15"/>
  <c r="AR87" i="15"/>
  <c r="AX87" i="15" s="1"/>
  <c r="AR86" i="15"/>
  <c r="AX86" i="15" s="1"/>
  <c r="AR85" i="15"/>
  <c r="AX85" i="15" s="1"/>
  <c r="AT84" i="15"/>
  <c r="AT83" i="15"/>
  <c r="AT82" i="15"/>
  <c r="AT81" i="15"/>
  <c r="AT80" i="15"/>
  <c r="AT79" i="15"/>
  <c r="AT78" i="15"/>
  <c r="AT77" i="15"/>
  <c r="AT76" i="15"/>
  <c r="AT75" i="15"/>
  <c r="AT74" i="15"/>
  <c r="AT73" i="15"/>
  <c r="AR72" i="15"/>
  <c r="AO72" i="15"/>
  <c r="AR71" i="15"/>
  <c r="AO71" i="15"/>
  <c r="AT70" i="15"/>
  <c r="AT69" i="15"/>
  <c r="AT68" i="15"/>
  <c r="AT67" i="15"/>
  <c r="AT66" i="15"/>
  <c r="AT65" i="15"/>
  <c r="AT64" i="15"/>
  <c r="AT63" i="15"/>
  <c r="AT62" i="15"/>
  <c r="AT61" i="15"/>
  <c r="AT58" i="15"/>
  <c r="AT57" i="15"/>
  <c r="AT56" i="15"/>
  <c r="AT55" i="15"/>
  <c r="AT54" i="15"/>
  <c r="AT53" i="15"/>
  <c r="AT52" i="15"/>
  <c r="AT51" i="15"/>
  <c r="AT50" i="15"/>
  <c r="AT49" i="15"/>
  <c r="AT46" i="15"/>
  <c r="AT45" i="15"/>
  <c r="AT44" i="15"/>
  <c r="AT43" i="15"/>
  <c r="AT39" i="15"/>
  <c r="AT38" i="15"/>
  <c r="AT37" i="15"/>
  <c r="AT36" i="15"/>
  <c r="AT33" i="15"/>
  <c r="AT32" i="15"/>
  <c r="AT14" i="15"/>
  <c r="AU5" i="15"/>
  <c r="AU3" i="15"/>
  <c r="AT72" i="15" l="1"/>
  <c r="AX100" i="15"/>
  <c r="AT71" i="15"/>
  <c r="AX96" i="15"/>
  <c r="AX105" i="15"/>
  <c r="AX88" i="15"/>
  <c r="AX93" i="15"/>
  <c r="AX95" i="15"/>
  <c r="AX89" i="15"/>
  <c r="AX107" i="15"/>
  <c r="AX104" i="15"/>
  <c r="AX101" i="15"/>
  <c r="AX94" i="15"/>
  <c r="AX98" i="15"/>
  <c r="AX99" i="15"/>
  <c r="AX108" i="15"/>
  <c r="AX91" i="15"/>
  <c r="AX92" i="15"/>
  <c r="AX102" i="15"/>
  <c r="AX106" i="15"/>
  <c r="AX103" i="15"/>
  <c r="AX9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tc={AE488716-AAAA-4C79-9FC8-8ECD47922DA1}</author>
    <author>tc={093798BB-9843-4F60-BBC3-6FB36739B1CD}</author>
    <author>tc={55E8AD3A-3FA8-490F-AF09-38E187B8F26C}</author>
    <author>tc={7F297970-0212-4069-B22A-237DC5A73CA9}</author>
    <author>tc={69255451-B9D2-42C1-9996-94B896CFE0F6}</author>
    <author>tc={24AE4403-BE19-4D69-9EC0-677149A0B582}</author>
    <author>tc={9DD6B8E6-E397-4523-A637-D4B1C12474F5}</author>
    <author>tc={F176A56E-6CE5-407F-83AC-DA518B33A416}</author>
    <author>tc={ABAAB877-2A50-498D-89F7-4259CE8C515E}</author>
    <author>tc={04B7FC16-830A-43CA-84EE-FABB72D60A6F}</author>
    <author>tc={7FB92093-A92D-4EC2-8067-7061E4D832DF}</author>
    <author>tc={FDFB09BE-CA6B-41AB-8DF7-1125BCCCB7F1}</author>
    <author>tc={C0A36E38-F3DD-4A75-8372-E2FCFF434D5C}</author>
    <author>tc={2528B21E-7766-484B-8452-219DF5790866}</author>
    <author>tc={403683FF-1004-4CA3-AAFE-A731D9EEAD74}</author>
    <author>tc={CB13DFF8-35E3-44A3-816E-C9A4201D5306}</author>
    <author>tc={EE71BBE2-668E-4C81-9E6D-5420F0F3CF58}</author>
    <author>tc={FAA37241-6CEF-4B8A-AE24-D7A12F747B33}</author>
    <author>tc={22E8FA60-46AB-4520-B336-D3DE7E389D8C}</author>
    <author>tc={0E3EA85A-16CB-49DD-8271-8EF2379DE1C3}</author>
    <author>tc={2349DE57-7B3E-4BFD-9F29-D3EFB079F473}</author>
    <author>tc={CABA102E-8A96-492D-B3FB-2A00D5C36587}</author>
    <author>tc={3305360A-C33C-4A0E-9409-E51203941FE1}</author>
    <author>tc={CF434AF7-3FCF-47DD-B4D6-C823A2923661}</author>
    <author>tc={F67AB7C3-E170-43C4-B136-64A924E248D2}</author>
    <author>tc={42626E0B-49E8-4E88-BAED-89515EE00A91}</author>
    <author>tc={4D3E24C7-A053-4695-AFA9-3BD8623526F7}</author>
    <author>tc={5579D0C0-AC3A-4BC2-885F-C7C173783A13}</author>
  </authors>
  <commentList>
    <comment ref="AT15" authorId="0" shapeId="0" xr:uid="{AE488716-AAAA-4C79-9FC8-8ECD47922DA1}">
      <text>
        <t>[Threaded comment]
Your version of Excel allows you to read this threaded comment; however, any edits to it will get removed if the file is opened in a newer version of Excel. Learn more: https://go.microsoft.com/fwlink/?linkid=870924
Comment:
    Reference no muching</t>
      </text>
    </comment>
    <comment ref="AT17" authorId="1" shapeId="0" xr:uid="{093798BB-9843-4F60-BBC3-6FB36739B1CD}">
      <text>
        <t>[Threaded comment]
Your version of Excel allows you to read this threaded comment; however, any edits to it will get removed if the file is opened in a newer version of Excel. Learn more: https://go.microsoft.com/fwlink/?linkid=870924
Comment:
    Compared to surface broadcast</t>
      </text>
    </comment>
    <comment ref="R19" authorId="2" shapeId="0" xr:uid="{55E8AD3A-3FA8-490F-AF09-38E187B8F26C}">
      <text>
        <t>[Threaded comment]
Your version of Excel allows you to read this threaded comment; however, any edits to it will get removed if the file is opened in a newer version of Excel. Learn more: https://go.microsoft.com/fwlink/?linkid=870924
Comment:
    Mean of the 2 application date</t>
      </text>
    </comment>
    <comment ref="AD19" authorId="3" shapeId="0" xr:uid="{7F297970-0212-4069-B22A-237DC5A73CA9}">
      <text>
        <t>[Threaded comment]
Your version of Excel allows you to read this threaded comment; however, any edits to it will get removed if the file is opened in a newer version of Excel. Learn more: https://go.microsoft.com/fwlink/?linkid=870924
Comment:
    In the manuscript they are considered as treatment</t>
      </text>
    </comment>
    <comment ref="AS19" authorId="4" shapeId="0" xr:uid="{69255451-B9D2-42C1-9996-94B896CFE0F6}">
      <text>
        <t>[Threaded comment]
Your version of Excel allows you to read this threaded comment; however, any edits to it will get removed if the file is opened in a newer version of Excel. Learn more: https://go.microsoft.com/fwlink/?linkid=870924
Comment:
    SE</t>
      </text>
    </comment>
    <comment ref="AV19" authorId="5" shapeId="0" xr:uid="{24AE4403-BE19-4D69-9EC0-677149A0B582}">
      <text>
        <t>[Threaded comment]
Your version of Excel allows you to read this threaded comment; however, any edits to it will get removed if the file is opened in a newer version of Excel. Learn more: https://go.microsoft.com/fwlink/?linkid=870924
Comment:
    Might be calculabe</t>
      </text>
    </comment>
    <comment ref="AO32" authorId="6" shapeId="0" xr:uid="{9DD6B8E6-E397-4523-A637-D4B1C12474F5}">
      <text>
        <t>[Threaded comment]
Your version of Excel allows you to read this threaded comment; however, any edits to it will get removed if the file is opened in a newer version of Excel. Learn more: https://go.microsoft.com/fwlink/?linkid=870924
Comment:
    No acid and with vegetation.</t>
      </text>
    </comment>
    <comment ref="AT32" authorId="7" shapeId="0" xr:uid="{F176A56E-6CE5-407F-83AC-DA518B33A416}">
      <text>
        <t>[Threaded comment]
Your version of Excel allows you to read this threaded comment; however, any edits to it will get removed if the file is opened in a newer version of Excel. Learn more: https://go.microsoft.com/fwlink/?linkid=870924
Comment:
    I did the calculation</t>
      </text>
    </comment>
    <comment ref="AO33" authorId="8" shapeId="0" xr:uid="{ABAAB877-2A50-498D-89F7-4259CE8C515E}">
      <text>
        <t>[Threaded comment]
Your version of Excel allows you to read this threaded comment; however, any edits to it will get removed if the file is opened in a newer version of Excel. Learn more: https://go.microsoft.com/fwlink/?linkid=870924
Comment:
    No acidification so just the pig slurry digestate</t>
      </text>
    </comment>
    <comment ref="R34" authorId="9" shapeId="0" xr:uid="{04B7FC16-830A-43CA-84EE-FABB72D60A6F}">
      <text>
        <t>[Threaded comment]
Your version of Excel allows you to read this threaded comment; however, any edits to it will get removed if the file is opened in a newer version of Excel. Learn more: https://go.microsoft.com/fwlink/?linkid=870924
Comment:
    I assume they used the not amended slurry to obtain the acidified(so going from 42.9 to 48.9). Also from the not amended slurry they applied l/s separation going from 42.9 to 20.9.  And finally they used the LF not amended to obtain ALF going to 20.9 to 23.2</t>
      </text>
    </comment>
    <comment ref="AT39" authorId="10" shapeId="0" xr:uid="{7FB92093-A92D-4EC2-8067-7061E4D832DF}">
      <text>
        <t>[Threaded comment]
Your version of Excel allows you to read this threaded comment; however, any edits to it will get removed if the file is opened in a newer version of Excel. Learn more: https://go.microsoft.com/fwlink/?linkid=870924
Comment:
    In the text they have 79%</t>
      </text>
    </comment>
    <comment ref="AX85" authorId="11" shapeId="0" xr:uid="{FDFB09BE-CA6B-41AB-8DF7-1125BCCCB7F1}">
      <text>
        <t>[Threaded comment]
Your version of Excel allows you to read this threaded comment; however, any edits to it will get removed if the file is opened in a newer version of Excel. Learn more: https://go.microsoft.com/fwlink/?linkid=870924
Comment:
    Here I use calculation : (reference-treat)/reference</t>
      </text>
    </comment>
    <comment ref="AL86" authorId="12" shapeId="0" xr:uid="{C0A36E38-F3DD-4A75-8372-E2FCFF434D5C}">
      <text>
        <t>[Threaded comment]
Your version of Excel allows you to read this threaded comment; however, any edits to it will get removed if the file is opened in a newer version of Excel. Learn more: https://go.microsoft.com/fwlink/?linkid=870924
Comment:
    Mean of 2 app</t>
      </text>
    </comment>
    <comment ref="O114" authorId="13" shapeId="0" xr:uid="{2528B21E-7766-484B-8452-219DF5790866}">
      <text>
        <t>[Threaded comment]
Your version of Excel allows you to read this threaded comment; however, any edits to it will get removed if the file is opened in a newer version of Excel. Learn more: https://go.microsoft.com/fwlink/?linkid=870924
Comment:
    The digestate was a product of cattle slurry (dairy cows) co-digested with deep litter (cattle).</t>
      </text>
    </comment>
    <comment ref="T114" authorId="14" shapeId="0" xr:uid="{403683FF-1004-4CA3-AAFE-A731D9EEAD74}">
      <text>
        <t>[Threaded comment]
Your version of Excel allows you to read this threaded comment; however, any edits to it will get removed if the file is opened in a newer version of Excel. Learn more: https://go.microsoft.com/fwlink/?linkid=870924
Comment:
    It is the TAN rate application</t>
      </text>
    </comment>
    <comment ref="Y114" authorId="15" shapeId="0" xr:uid="{CB13DFF8-35E3-44A3-816E-C9A4201D5306}">
      <text>
        <t>[Threaded comment]
Your version of Excel allows you to read this threaded comment; however, any edits to it will get removed if the file is opened in a newer version of Excel. Learn more: https://go.microsoft.com/fwlink/?linkid=870924
Comment:
    In the study they said experiments A and B were conducted in 2020 but in table 1 the application date show 2021</t>
      </text>
    </comment>
    <comment ref="M125" authorId="16" shapeId="0" xr:uid="{EE71BBE2-668E-4C81-9E6D-5420F0F3CF58}">
      <text>
        <t>[Threaded comment]
Your version of Excel allows you to read this threaded comment; however, any edits to it will get removed if the file is opened in a newer version of Excel. Learn more: https://go.microsoft.com/fwlink/?linkid=870924
Comment:
    BARE SOIL</t>
      </text>
    </comment>
    <comment ref="AM125" authorId="17" shapeId="0" xr:uid="{FAA37241-6CEF-4B8A-AE24-D7A12F747B33}">
      <text>
        <t>[Threaded comment]
Your version of Excel allows you to read this threaded comment; however, any edits to it will get removed if the file is opened in a newer version of Excel. Learn more: https://go.microsoft.com/fwlink/?linkid=870924
Comment:
    Reference is experiment G</t>
      </text>
    </comment>
    <comment ref="AK133" authorId="18" shapeId="0" xr:uid="{22E8FA60-46AB-4520-B336-D3DE7E389D8C}">
      <text>
        <t>[Threaded comment]
Your version of Excel allows you to read this threaded comment; however, any edits to it will get removed if the file is opened in a newer version of Excel. Learn more: https://go.microsoft.com/fwlink/?linkid=870924
Comment:
    AT the application</t>
      </text>
    </comment>
    <comment ref="AT133" authorId="19" shapeId="0" xr:uid="{0E3EA85A-16CB-49DD-8271-8EF2379DE1C3}">
      <text>
        <t>[Threaded comment]
Your version of Excel allows you to read this threaded comment; however, any edits to it will get removed if the file is opened in a newer version of Excel. Learn more: https://go.microsoft.com/fwlink/?linkid=870924
Comment:
    Discussion about the reduction they found in the study</t>
      </text>
    </comment>
    <comment ref="R134" authorId="20" shapeId="0" xr:uid="{2349DE57-7B3E-4BFD-9F29-D3EFB079F473}">
      <text>
        <t>[Threaded comment]
Your version of Excel allows you to read this threaded comment; however, any edits to it will get removed if the file is opened in a newer version of Excel. Learn more: https://go.microsoft.com/fwlink/?linkid=870924
Comment:
    I used the DM of the untreated manure for the separated manure before separation. But the TAN of the separated manure here in the next column is the actual TAN of the separated manure</t>
      </text>
    </comment>
    <comment ref="W152" authorId="21" shapeId="0" xr:uid="{CABA102E-8A96-492D-B3FB-2A00D5C36587}">
      <text>
        <t>[Threaded comment]
Your version of Excel allows you to read this threaded comment; however, any edits to it will get removed if the file is opened in a newer version of Excel. Learn more: https://go.microsoft.com/fwlink/?linkid=870924
Comment:
    65</t>
      </text>
    </comment>
    <comment ref="R202" authorId="22" shapeId="0" xr:uid="{3305360A-C33C-4A0E-9409-E51203941FE1}">
      <text>
        <t>[Threaded comment]
Your version of Excel allows you to read this threaded comment; however, any edits to it will get removed if the file is opened in a newer version of Excel. Learn more: https://go.microsoft.com/fwlink/?linkid=870924
Comment:
    Solid content</t>
      </text>
    </comment>
    <comment ref="R217" authorId="23" shapeId="0" xr:uid="{CF434AF7-3FCF-47DD-B4D6-C823A2923661}">
      <text>
        <t>[Threaded comment]
Your version of Excel allows you to read this threaded comment; however, any edits to it will get removed if the file is opened in a newer version of Excel. Learn more: https://go.microsoft.com/fwlink/?linkid=870924
Comment:
    Total solids %</t>
      </text>
    </comment>
    <comment ref="T217" authorId="24" shapeId="0" xr:uid="{F67AB7C3-E170-43C4-B136-64A924E248D2}">
      <text>
        <t>[Threaded comment]
Your version of Excel allows you to read this threaded comment; however, any edits to it will get removed if the file is opened in a newer version of Excel. Learn more: https://go.microsoft.com/fwlink/?linkid=870924
Comment:
    AN : Amoniacal Nitrogen</t>
      </text>
    </comment>
    <comment ref="X217" authorId="25" shapeId="0" xr:uid="{42626E0B-49E8-4E88-BAED-89515EE00A91}">
      <text>
        <t>[Threaded comment]
Your version of Excel allows you to read this threaded comment; however, any edits to it will get removed if the file is opened in a newer version of Excel. Learn more: https://go.microsoft.com/fwlink/?linkid=870924
Comment:
    It is the applied AN rate</t>
      </text>
    </comment>
    <comment ref="AR271" authorId="26" shapeId="0" xr:uid="{4D3E24C7-A053-4695-AFA9-3BD8623526F7}">
      <text>
        <t>[Threaded comment]
Your version of Excel allows you to read this threaded comment; however, any edits to it will get removed if the file is opened in a newer version of Excel. Learn more: https://go.microsoft.com/fwlink/?linkid=870924
Comment:
    1253.6</t>
      </text>
    </comment>
    <comment ref="AT271" authorId="27" shapeId="0" xr:uid="{5579D0C0-AC3A-4BC2-885F-C7C173783A13}">
      <text>
        <t>[Threaded comment]
Your version of Excel allows you to read this threaded comment; however, any edits to it will get removed if the file is opened in a newer version of Excel. Learn more: https://go.microsoft.com/fwlink/?linkid=870924
Comment:
    13.9</t>
      </text>
    </comment>
  </commentList>
</comments>
</file>

<file path=xl/sharedStrings.xml><?xml version="1.0" encoding="utf-8"?>
<sst xmlns="http://schemas.openxmlformats.org/spreadsheetml/2006/main" count="9898" uniqueCount="1054">
  <si>
    <t>Study</t>
  </si>
  <si>
    <t>Citation</t>
  </si>
  <si>
    <t>Country</t>
  </si>
  <si>
    <t>Climate Zone (Koppen?)</t>
  </si>
  <si>
    <t>Soil texture</t>
  </si>
  <si>
    <t>Crop species</t>
  </si>
  <si>
    <t>Manure type</t>
  </si>
  <si>
    <t>Application (Treatment)</t>
  </si>
  <si>
    <t>Application (reference)</t>
  </si>
  <si>
    <t>Treatment</t>
  </si>
  <si>
    <t>Manure DM (%)</t>
  </si>
  <si>
    <t>Manure TAN</t>
  </si>
  <si>
    <t>Manure pH</t>
  </si>
  <si>
    <t>pH (treated)</t>
  </si>
  <si>
    <t>Manure app. Rate</t>
  </si>
  <si>
    <t>Manure app. N Rate</t>
  </si>
  <si>
    <t>NH3 reduction (%)</t>
  </si>
  <si>
    <t>Quick name of study (e.g. Pedersen et al., 2021)</t>
  </si>
  <si>
    <t>Either full citation or the doi.</t>
  </si>
  <si>
    <t>Country where the study took place</t>
  </si>
  <si>
    <t>Koppen climate class for the study site</t>
  </si>
  <si>
    <t>e.g. silt loam, or sandy clay…</t>
  </si>
  <si>
    <t>What type of crop was growing at the site where the manure was applied (e.g. maize, forage grasses, pasture, etc)</t>
  </si>
  <si>
    <t>Notes</t>
  </si>
  <si>
    <t>how much ammoniacal N is in the manure (mg / kg)</t>
  </si>
  <si>
    <t>pH of the manure. In the case where the study treatment was acidification of manure, the value for the reference manure will be entered here.</t>
  </si>
  <si>
    <t>How much N was applied to the soil (kg / ha)</t>
  </si>
  <si>
    <t>What is the "improved" management practice that is being tested (e.g. trailing shoe or injection…)</t>
  </si>
  <si>
    <t>What is the base management practice (e.g. surface broadcast)</t>
  </si>
  <si>
    <t>If the manure was treated, what was done to the manure (e.g. urease inhibitor added, or solid / liquid separation, or zeolite added, or manure was acidified)</t>
  </si>
  <si>
    <t>if the manure was acidified, what is the pH of the acidified manure?</t>
  </si>
  <si>
    <t>Is there anything else that seems important that does not fit into one of the previous columns (e.g. heavy rains occurred just after application).</t>
  </si>
  <si>
    <t>Manure app. Date</t>
  </si>
  <si>
    <t>Measurement method</t>
  </si>
  <si>
    <t xml:space="preserve">study </t>
  </si>
  <si>
    <t>citation</t>
  </si>
  <si>
    <t>country</t>
  </si>
  <si>
    <t>czone</t>
  </si>
  <si>
    <t>soil_texture</t>
  </si>
  <si>
    <t>crop</t>
  </si>
  <si>
    <t>Manure texture</t>
  </si>
  <si>
    <t>What type of manure was used. Solid vs liquid.</t>
  </si>
  <si>
    <t xml:space="preserve">What type of manure was used. Animal species. </t>
  </si>
  <si>
    <t>DM</t>
  </si>
  <si>
    <t>TAN</t>
  </si>
  <si>
    <t>pH</t>
  </si>
  <si>
    <t>app_rate</t>
  </si>
  <si>
    <t>Napp_rate</t>
  </si>
  <si>
    <t>How much manure was applied to the soil (mg / ha)</t>
  </si>
  <si>
    <t>app.date</t>
  </si>
  <si>
    <t>year.start</t>
  </si>
  <si>
    <t>man.type</t>
  </si>
  <si>
    <t>man.tex</t>
  </si>
  <si>
    <t>What date was the manure applied (yyyy-mm-dd)</t>
  </si>
  <si>
    <t>duration</t>
  </si>
  <si>
    <t>Measurement duration (h)</t>
  </si>
  <si>
    <t>How long did the authors measure emissions (h)</t>
  </si>
  <si>
    <t>meas.meth</t>
  </si>
  <si>
    <t>How did the authors measure emissions (micromet = micro; wind tunnels = wt; non-wind tunnel type flow chambers = fc; static chambers (including DTM) = sc)</t>
  </si>
  <si>
    <t xml:space="preserve">what is the dry matter content of the manure. In the case where the study treatment was separation of manure, the value for the reference manure will be entered here. </t>
  </si>
  <si>
    <t>pH.treat</t>
  </si>
  <si>
    <t>DM.treat</t>
  </si>
  <si>
    <t>DM (treated)</t>
  </si>
  <si>
    <t xml:space="preserve">if the manure was separated, what is the DM of the separated manure fraction studied? </t>
  </si>
  <si>
    <t>app.treat</t>
  </si>
  <si>
    <t>app.ref</t>
  </si>
  <si>
    <t>treat</t>
  </si>
  <si>
    <t>red</t>
  </si>
  <si>
    <t>notes</t>
  </si>
  <si>
    <t>Cumul NH3 reference TAN</t>
  </si>
  <si>
    <t>Cumul NH3 treat TAN</t>
  </si>
  <si>
    <t>Cumul NH3 treat massN</t>
  </si>
  <si>
    <t>Cumul NH3 reference massN</t>
  </si>
  <si>
    <t>cum.ref.TAN</t>
  </si>
  <si>
    <t>cum.ref.mass</t>
  </si>
  <si>
    <t>cum.treat.TAN</t>
  </si>
  <si>
    <t>cum.treat.mass</t>
  </si>
  <si>
    <t>what year is the data from (if multiple years reported, then add additional rows for each year)</t>
  </si>
  <si>
    <t>What is the mean percent reduction of the "improved" treatment</t>
  </si>
  <si>
    <t>Standard deviation of NH3 reduction</t>
  </si>
  <si>
    <t>red.sd</t>
  </si>
  <si>
    <t>what is the standard deviation for the percent reduction of the improved treatment</t>
  </si>
  <si>
    <t>how much NH3 was lost for the reference treatment (%TAN )</t>
  </si>
  <si>
    <t>how much NH3 was lost for the reference treatment (total mass of N)</t>
  </si>
  <si>
    <t>how much NH3 was lost for the improved treatment (%TAN )</t>
  </si>
  <si>
    <t>how much NH3 was lost for the improved treatment (total mass of N)</t>
  </si>
  <si>
    <t>year.end</t>
  </si>
  <si>
    <t xml:space="preserve">Start Year </t>
  </si>
  <si>
    <t>End Year</t>
  </si>
  <si>
    <t>what year did the trial end (this should be the same as start.year, except when literature provides only the mean for more than one year)</t>
  </si>
  <si>
    <t>Aita et al., 2019</t>
  </si>
  <si>
    <t xml:space="preserve">Aita, C., Chantigny, M. H., Gonzatto, R., Miola, E. C. C., Rochette, P., Pujol, S. B., dos Santos, D. B., Giacomini, D. A., &amp; Giacomini, S. J. (2019). Winter-Season Gaseous Nitrogen Emissions in Subtropical Climate: Impacts of Pig Slurry Injection and Nitrification Inhibitor. Journal of Environmental Quality, 48(5), 1414-1426. https://doi.org/https://doi.org/10.2134/jeq2018.04.0137 </t>
  </si>
  <si>
    <t>Brazil</t>
  </si>
  <si>
    <t>Liquid</t>
  </si>
  <si>
    <t>Site</t>
  </si>
  <si>
    <t>40.0</t>
  </si>
  <si>
    <t>156.0</t>
  </si>
  <si>
    <t>150.4</t>
  </si>
  <si>
    <t>100d-130d</t>
  </si>
  <si>
    <t>surface broadcast manually using watering cans.</t>
  </si>
  <si>
    <t>Pig slurry injection</t>
  </si>
  <si>
    <t>N/A</t>
  </si>
  <si>
    <t>The average daily temperature was obtained from the university meteorological station, located approximately 1500 m from Site 1 and 500 m from Site 2. The amount of rainfall was measured at each site using rain gauges. Irrigation was not required during the winter season. + Statistical significance was set a priori to the 5% confidence level + However, monthly precipitation was much higher in early winter ( June–August) 2013 than in 2012 (Supplemental Table S1). These differences in temperature and precipitation between experimental years resulted in significant treatment ´ year interactions in most instances (Table 2). + Our results showed that injecting PS in narrow bands into the top 10 cm of no-till soils before planting winter crops substantially reduces NH3 volatilization. However, this benefit is partly offset by increased N2O emissions compared with surface broadcast application.</t>
  </si>
  <si>
    <t>Psi + DCD</t>
  </si>
  <si>
    <t>PSs + DCD</t>
  </si>
  <si>
    <t>Psi (injection of pig slurry)</t>
  </si>
  <si>
    <t>PSs (surface
broadcast of pig slurry)</t>
  </si>
  <si>
    <t>Pig Slurry (PS)</t>
  </si>
  <si>
    <t>Subtropical</t>
  </si>
  <si>
    <t xml:space="preserve">autumn (they mention that this is a winter crop, so I assume they applied in autumn). </t>
  </si>
  <si>
    <t>black oats (Avena strigosa)</t>
  </si>
  <si>
    <t>Wheat (Triticum …)</t>
  </si>
  <si>
    <t>Bosch-Serra et al., 2014</t>
  </si>
  <si>
    <t xml:space="preserve">Bosch-Serra, À. D., Yagüe, M. R., &amp; Teira-Esmatges, M. R. (2014). Ammonia emissions from different fertilizing strategies in Mediterranean rainfed winter cereals. Atmospheric Environment, 84, 204-212. https://doi.org/https://doi.org/10.1016/j.atmosenv.2013.11.044 </t>
  </si>
  <si>
    <t>Spain</t>
  </si>
  <si>
    <t>Typic Xerofluvent (Soil Survey Staff, 1999), well drained, with a silty
loam texture in the surface layer</t>
  </si>
  <si>
    <t>Wheat</t>
  </si>
  <si>
    <t>384h - 1400h</t>
  </si>
  <si>
    <t>Ammonia volatilization was sampled using semi-static chambers based on Grant et al.’s (1996) description.</t>
  </si>
  <si>
    <r>
      <t>4PS</t>
    </r>
    <r>
      <rPr>
        <vertAlign val="superscript"/>
        <sz val="11"/>
        <color theme="1"/>
        <rFont val="Aptos Narrow"/>
        <family val="2"/>
        <scheme val="minor"/>
      </rPr>
      <t>S</t>
    </r>
  </si>
  <si>
    <r>
      <t>Sow slurry(PS</t>
    </r>
    <r>
      <rPr>
        <vertAlign val="superscript"/>
        <sz val="11"/>
        <color theme="1"/>
        <rFont val="Aptos Narrow"/>
        <family val="2"/>
        <scheme val="minor"/>
      </rPr>
      <t>S</t>
    </r>
    <r>
      <rPr>
        <sz val="11"/>
        <color theme="1"/>
        <rFont val="Aptos Narrow"/>
        <family val="2"/>
        <scheme val="minor"/>
      </rPr>
      <t>)</t>
    </r>
  </si>
  <si>
    <t>at tillering - third cropping season</t>
  </si>
  <si>
    <t>Chae et al., 2022</t>
  </si>
  <si>
    <t xml:space="preserve">Chae, H. G., Song, H. J., Bhuiyan, M. S. I., Kim, P. J., &amp; Lee, J. G. (2022). Unexpected high suppression of ammonia volatilization loss by plastic film mulching in Korean maize cropping system. Agriculture, Ecosystems &amp; Environment, 335, 108022. https://doi.org/https://doi.org/10.1016/j.agee.2022.108022 </t>
  </si>
  <si>
    <t>South Korea</t>
  </si>
  <si>
    <t>Rainfed Mediterranean</t>
  </si>
  <si>
    <t>Typical monsoon climate zone</t>
  </si>
  <si>
    <t>Dystric Fluventic Eutrudepts - (coarse loamy, mixed, mesic family)</t>
  </si>
  <si>
    <t>NH3 volatilization rates were determined using the acid-trapping method during maize cropping periods</t>
  </si>
  <si>
    <t>Organic fertilization</t>
  </si>
  <si>
    <t>Start Year 1</t>
  </si>
  <si>
    <t>End Year 1</t>
  </si>
  <si>
    <t>Start Year 2</t>
  </si>
  <si>
    <t>End Year 2</t>
  </si>
  <si>
    <t>Barley + Hairy Vetch</t>
  </si>
  <si>
    <t>120d - 140d</t>
  </si>
  <si>
    <t>June (Summer)</t>
  </si>
  <si>
    <t>PFM</t>
  </si>
  <si>
    <t>USA</t>
  </si>
  <si>
    <t>4.37</t>
  </si>
  <si>
    <t>99.45</t>
  </si>
  <si>
    <t>1.6</t>
  </si>
  <si>
    <t>65.5</t>
  </si>
  <si>
    <t>0.54</t>
  </si>
  <si>
    <t>0.55</t>
  </si>
  <si>
    <t>19.2</t>
  </si>
  <si>
    <t>17.3</t>
  </si>
  <si>
    <t>3.7</t>
  </si>
  <si>
    <t>55.4</t>
  </si>
  <si>
    <t>39.8</t>
  </si>
  <si>
    <t>Chen et al., 2014</t>
  </si>
  <si>
    <t xml:space="preserve">Chen, L., Wilson Gray, C., Neibling, H., K.R. Yadanaparthi, S., Chahine, M., &amp; E. de Haro Marti, M. (2014). On-Farm Comparison of Two Dairy Manure Application Methods in Terms of Ammoniaand Odor Emissions and Costs. Applied Engineering in Agriculture, 30(5), 805-813. https://doi.org/https://doi.org/10.13031/aea.30.10600 </t>
  </si>
  <si>
    <t xml:space="preserve">fall 2012 </t>
  </si>
  <si>
    <t>Site 2</t>
  </si>
  <si>
    <t>Surface brodcast using drag hoses</t>
  </si>
  <si>
    <t>Direct injection of manure via drag hoses</t>
  </si>
  <si>
    <t>Dairy manure slurry (Cows)</t>
  </si>
  <si>
    <t>Ogawa passive NH3 samplers</t>
  </si>
  <si>
    <t>7.3</t>
  </si>
  <si>
    <t>3d (2 days after manure application)</t>
  </si>
  <si>
    <t>USA - Idaho</t>
  </si>
  <si>
    <t>Idaho climate (Semi-Arid)</t>
  </si>
  <si>
    <t>fall 2012</t>
  </si>
  <si>
    <t>Fall 2012</t>
  </si>
  <si>
    <t>Previous crop was Corn</t>
  </si>
  <si>
    <t>Costa et al., 2014</t>
  </si>
  <si>
    <t xml:space="preserve">Costa, M., Shigaki, F., Alves, B., Kleinman, P., &amp; Pereira, M. (2014). Swine manure application methods effects on ammonia volatilization, forage quality, and yield in the Pre-Amazon Region of Brazil. Chilean journal of agricultural research, 74, 311-318. http://www.scielo.cl/scielo.php?script=sci_arttext&amp;pid=S0718-58392014000300009&amp;nrm=iso </t>
  </si>
  <si>
    <t>Swine Manure (SM)</t>
  </si>
  <si>
    <t>April 2010</t>
  </si>
  <si>
    <t>Sand clay loam soil (Red-Yellow Latossol)</t>
  </si>
  <si>
    <t>Hot and semi-humid equatorial</t>
  </si>
  <si>
    <t>Application on the soil surface - evenly broadcast</t>
  </si>
  <si>
    <t>Incorporation at 10-cm soil depth (cutting discs of a planter)</t>
  </si>
  <si>
    <t>Semi-open static ammonia chamber</t>
  </si>
  <si>
    <t>Pasture of Brachiaria brizantha (Hochst. ex A. Rich.)</t>
  </si>
  <si>
    <t>264h(of measurement) - 45d in total</t>
  </si>
  <si>
    <t>June/July 2010</t>
  </si>
  <si>
    <t>April 2012</t>
  </si>
  <si>
    <t>Dell et al., 2012</t>
  </si>
  <si>
    <t xml:space="preserve">Dell, C. J., Kleinman, P. J. A., Schmidt, J. P., &amp; Beegle, D. B. (2012). Low-Disturbance Manure Incorporation Effects on Ammonia and Nitrate Loss. Journal of Environmental Quality, 41(3), 928-937. https://doi.org/https://doi.org/10.2134/jeq2011.0327 </t>
  </si>
  <si>
    <t>Swine manure (Sus scrofa L.)</t>
  </si>
  <si>
    <t>USA - Pennsylvania</t>
  </si>
  <si>
    <t>Silage Corn</t>
  </si>
  <si>
    <t>Hagerstown silt loam (Fine, mixed semiactive, mesic Typic Hapludalf )</t>
  </si>
  <si>
    <t>Dairy Cow Slurry (Bos taurus L.)</t>
  </si>
  <si>
    <t>Dynamic chamber technique (Svensson, 1994) + Passive diffusion samplers (PDSs)</t>
  </si>
  <si>
    <t>72h</t>
  </si>
  <si>
    <t>Shallow disk injection</t>
  </si>
  <si>
    <t>Banded manure with aeration: A Gen-Till aerator (Genesis Tillage) was used in 2006</t>
  </si>
  <si>
    <t>Broadcast : Manure was broadcast from a toolbar with six outlets placed above splash plates</t>
  </si>
  <si>
    <t>Broadcast with incorporation by tillage : plots were chisel plowed (~20 cm deep) and culti-mulched approximately 1 h after broadcast manure application</t>
  </si>
  <si>
    <t>Banded manure with aeration: Aerway aerator (Holland Equipment Ltd.) was used from 2007 through 2009</t>
  </si>
  <si>
    <t>2008-05-27 and 2008-06-02</t>
  </si>
  <si>
    <t>3.4</t>
  </si>
  <si>
    <t>1.7</t>
  </si>
  <si>
    <t>emissions comparison might be relative to broadcast application</t>
  </si>
  <si>
    <t>For the broadcast with incorporation : Chiselled and culti-mulched 1 h after manure application.</t>
  </si>
  <si>
    <t>&lt;1</t>
  </si>
  <si>
    <t>Duncan et al., 2017</t>
  </si>
  <si>
    <t xml:space="preserve">Duncan, E. W., Dell, C. J., Kleinman, P. J. A., &amp; Beegle, D. B. (2017). Nitrous Oxide and Ammonia Emissions from Injected and Broadcast-Applied Dairy Slurry. Journal of Environmental Quality, 46(1), 36-44. https://doi.org/https://doi.org/10.2134/jeq2016.05.0171 </t>
  </si>
  <si>
    <t>USA-Pennsylvania</t>
  </si>
  <si>
    <t>Mid-Atlantic</t>
  </si>
  <si>
    <t>Well-drained Hagerstown series (fine, mixed, semiactive, mesic Typic Hapludalfs) and Opequon series (family level classification) formed in limestone residuum (Braker, 1981).</t>
  </si>
  <si>
    <t>Corn for silage (Zea mays L.) and Winter cover crop of red clover (Trifolium pretense L.) in 2011 and winter wheat (Triticum aestivum L.) in 2012 and 2013.</t>
  </si>
  <si>
    <t>Conventional Broadcast</t>
  </si>
  <si>
    <t>Low-disturbance shallow disk injection</t>
  </si>
  <si>
    <t>NH3 emissions - Photoacoustic gas analyzer (Innova 1412, California Analytical Instruments) + Chamber with a recirculating fan</t>
  </si>
  <si>
    <t>48 h</t>
  </si>
  <si>
    <t>Injection</t>
  </si>
  <si>
    <t xml:space="preserve">Dairy Slurry  </t>
  </si>
  <si>
    <t>Units</t>
  </si>
  <si>
    <r>
      <t>DM = % ; app_rate = Mg/ha</t>
    </r>
    <r>
      <rPr>
        <vertAlign val="superscript"/>
        <sz val="11"/>
        <color theme="1"/>
        <rFont val="Aptos Narrow"/>
        <family val="2"/>
        <scheme val="minor"/>
      </rPr>
      <t xml:space="preserve"> </t>
    </r>
    <r>
      <rPr>
        <sz val="11"/>
        <color theme="1"/>
        <rFont val="Aptos Narrow"/>
        <family val="2"/>
        <scheme val="minor"/>
      </rPr>
      <t>; Napp_rate = kg/ha ; cum.treat.mass = cum.ref.mass = kg NH3-N ha-1</t>
    </r>
  </si>
  <si>
    <t>Eihe et al., 2019</t>
  </si>
  <si>
    <t xml:space="preserve">Eihe, P., Vebere, L. L., Grinfelde, I., Pilecka, J., Sachpazidou, V., &amp; Grinberga, L. (2019). The effect of acidification of pig slurry digestate applied on winter rapeseed on the ammonia emission reduction. IOP Conference Series: Earth and Environmental Science, 390(1), 012043. https://doi.org/10.1088/1755-1315/390/1/012043 </t>
  </si>
  <si>
    <t>Latvia</t>
  </si>
  <si>
    <t>Cavity ring-down spectroscopy device Picarro G2508 connected to a 60-liter volume chamber</t>
  </si>
  <si>
    <t>Pig Slurry digestate</t>
  </si>
  <si>
    <t>Acidification of pig slurry digestate (Sulphuric Acid)</t>
  </si>
  <si>
    <t>Soil application of pig slurry digestate with hollow tubes + Hanging hoses</t>
  </si>
  <si>
    <t>24h</t>
  </si>
  <si>
    <t>without vegetation</t>
  </si>
  <si>
    <t>Winter Rapeseed</t>
  </si>
  <si>
    <t>with vegetation. No acid was considered as the reference</t>
  </si>
  <si>
    <t>cum.ref.mass = cum.treat.mass = kg/ha</t>
  </si>
  <si>
    <t xml:space="preserve">8.5 </t>
  </si>
  <si>
    <t>2.5</t>
  </si>
  <si>
    <t>Ammonia volatilization was measured using one square semi-open static chamber (32-cm length, 32-cm width, and 30-cm height; adapted from Nômmik, 1973) per plot after urea and PS applications in the second year at Site 1 (2012) and in both years at Site 2.</t>
  </si>
  <si>
    <t>DM = % ; app_rate = L/ha ; cum.ref.mass = cum.treat.mass = kg NH3-N/ha ; urea.application.rate = kg/ha</t>
  </si>
  <si>
    <t>DM = g/kg ; app_rate = m3/ha ; cum.treat.mass = kg N-NH3 /ha</t>
  </si>
  <si>
    <t>app_rate = L/ha ; Napp_rate = kg/ha ; cum.ref.mass = cum.treat.mass = mg NH3-N/m3</t>
  </si>
  <si>
    <t>186730 (20,000 gal/acre)</t>
  </si>
  <si>
    <t>Napp_rate = kg/ha ; cum.ref.mass = cum.treat.mass = kg N/ha</t>
  </si>
  <si>
    <t>DM = % ; app_rate  = PS or PSS ; Napp_rate = kg/ha ; cum.treat.TAN = % ; cum.trat.mass = kg NH3-N /ha</t>
  </si>
  <si>
    <t>8.5</t>
  </si>
  <si>
    <t>7.8</t>
  </si>
  <si>
    <t>0.8</t>
  </si>
  <si>
    <t>135.3</t>
  </si>
  <si>
    <t>7.2</t>
  </si>
  <si>
    <t xml:space="preserve">DM = kg/m3 ; TAN  = kg/m3 ; app_rate = m3/ha ; Napp_rate = kg/ha ;  </t>
  </si>
  <si>
    <t>2006-05-01 and 2006-05-08</t>
  </si>
  <si>
    <t>2007-05-07 and 2007-05-15</t>
  </si>
  <si>
    <t>China (North China Plain)</t>
  </si>
  <si>
    <t>Fangueiro et al., 2017</t>
  </si>
  <si>
    <t xml:space="preserve">Fangueiro, D., Pereira, J. L. S., Macedo, S., Trindade, H., Vasconcelos, E., &amp; Coutinho, J. (2017). Surface application of acidified cattle slurry compared to slurry injection: Impact on NH3, N2O, CO2 and CH4 emissions and crop uptake. Geoderma, 306, 160-166. https://doi.org/https://doi.org/10.1016/j.geoderma.2017.07.023 </t>
  </si>
  <si>
    <t>Cattle slurry (S)</t>
  </si>
  <si>
    <t>Portugal</t>
  </si>
  <si>
    <t>Sandy texture (70% coarse sand (0.2–2 mm), 17% fine sand (0.02–0.2 mm), 10% silt (0.002–0.02 mm) and 3% clay (&lt; 0.002 mm))  -&gt; Cambic Arenosol</t>
  </si>
  <si>
    <t>Forage oat (Avena sativa L. cv. Saia 6)</t>
  </si>
  <si>
    <t>Ammonia emissions were measured using the open chamber technique</t>
  </si>
  <si>
    <t>Soil surface followed by soil incorporation (S-tillage)</t>
  </si>
  <si>
    <t>Soil surface followed by soil incorporation (AS-tillage)</t>
  </si>
  <si>
    <t>Soil surface only (AS-surface)</t>
  </si>
  <si>
    <t>Soil surface followed by soil incorporation (LF-tillage)</t>
  </si>
  <si>
    <t>Soil surface only (ALF-surface)</t>
  </si>
  <si>
    <t>67d-&gt;(7d of emission ) -&gt; around 150h</t>
  </si>
  <si>
    <t>DM = g/kg ; Napp_rate = mg Toal N / kg ; cum.ref.mass = cum.treat.mass = mg NH3-N per pot</t>
  </si>
  <si>
    <t>Poultry manure</t>
  </si>
  <si>
    <t>Hagner et al., 2021</t>
  </si>
  <si>
    <t xml:space="preserve">Hagner, M., Räty, M., Nikama, J., Rasa, K., Peltonen, S., Vepsäläinen, J., &amp; Keskinen, R. (2021). Slow pyrolysis liquid in reducing NH3 emissions from cattle slurry — Impacts on plant growth and soil organisms. Science of The Total Environment, 784, 147139. https://doi.org/https://doi.org/10.1016/j.scitotenv.2021.147139 </t>
  </si>
  <si>
    <t>Finland (East-central)</t>
  </si>
  <si>
    <t>Humic Dystric Regosol -&gt; Texture = the topsoil (0–20 cm) was loam (clay 9%, silt 47%, sand 44%) and the subsoil (20–40 cm) sandy loam (clay 7%, silt 48%, sand 45%)</t>
  </si>
  <si>
    <t>Timothy (Phleum pratense L.) + Meadow fescue (Festuca pratensis Huds.) + Barley (Hordeum vulgare L.) as the cover crop</t>
  </si>
  <si>
    <t>Dairy cattle slurry</t>
  </si>
  <si>
    <t>Untreated slurry (US)</t>
  </si>
  <si>
    <t>Slurry acidified with sulfuric acid (Slurry + SA)</t>
  </si>
  <si>
    <t>Surface applied by watering cans in bands at intervals of 0.3 m, representing the band spreading technique</t>
  </si>
  <si>
    <t>Slurry acidified with pyrolysis liquid (Slurry + PL) -&gt; (The PL derived from birch wood)</t>
  </si>
  <si>
    <t>NH3 &gt; Equilibrium concentration technique (JTI method) = The stirred dynamic chamber method + Passive diffusion sampler technique</t>
  </si>
  <si>
    <t>3d (49 h)</t>
  </si>
  <si>
    <t>DM = % ; app_rate = t/ha ; Napp_rate = kg/ha ; cum.ref.mass = cum.treat.mass = kg NH3-N /ha</t>
  </si>
  <si>
    <t>China</t>
  </si>
  <si>
    <t>Warm and semi-humid continental monsoon climate</t>
  </si>
  <si>
    <t>Summer Maize – Winter Wheat</t>
  </si>
  <si>
    <t>Alluvial calcareous loamy Cambisol</t>
  </si>
  <si>
    <t>June 2020</t>
  </si>
  <si>
    <t>June 2022</t>
  </si>
  <si>
    <t>Poultry (Hen) manure</t>
  </si>
  <si>
    <t>Manure composted with straw (CS)</t>
  </si>
  <si>
    <t>Manure composted with straw and Z (Z)</t>
  </si>
  <si>
    <t>Manure composted with straw and SP (SP)</t>
  </si>
  <si>
    <t>Manure composted with straw, Z and SP (ZSP)</t>
  </si>
  <si>
    <t>50% manure-N from CS treatment (CS) + 50% synthetic N fertilizer</t>
  </si>
  <si>
    <t>50% manure-N from the Z treatment (Z) + 50% synthetic N fertilizer</t>
  </si>
  <si>
    <t>50% manure-N from SP treatment (SP) + 50% synthetic N fertilizer</t>
  </si>
  <si>
    <t>50% manure-N from the ZSP treatment + 50% synthetic N fertilizer.</t>
  </si>
  <si>
    <t>Hesar et al., 2024</t>
  </si>
  <si>
    <t xml:space="preserve">Ghanizadeh Hesar, L., İnce, A., Ekinci, K., Gücüm, H., &amp; Vurarak, Y. (2024). Construction and Evaluation of The Wind Tunnel Technique for Estimating Ammonia Volatilization from Land. BIO Web Conf., 85, 01075. https://doi.org/10.1051/bioconf/20248501075 </t>
  </si>
  <si>
    <t>DM.sd</t>
  </si>
  <si>
    <t xml:space="preserve">2.72 </t>
  </si>
  <si>
    <t>TAN.sd</t>
  </si>
  <si>
    <t>2.80</t>
  </si>
  <si>
    <t>2.75</t>
  </si>
  <si>
    <t xml:space="preserve">6.15 </t>
  </si>
  <si>
    <t>6.11</t>
  </si>
  <si>
    <t>6.12</t>
  </si>
  <si>
    <t>6.13</t>
  </si>
  <si>
    <t>6.14</t>
  </si>
  <si>
    <t>6.90</t>
  </si>
  <si>
    <t>34.2</t>
  </si>
  <si>
    <t>125.2</t>
  </si>
  <si>
    <t>cum.treat.mass.sd</t>
  </si>
  <si>
    <t>Turkey</t>
  </si>
  <si>
    <t>Small Wind Tunnel</t>
  </si>
  <si>
    <t>Surface application</t>
  </si>
  <si>
    <t>100 mm Subsurface</t>
  </si>
  <si>
    <t>50 mm Subsurface</t>
  </si>
  <si>
    <t>48h</t>
  </si>
  <si>
    <t>Bovine Slurry</t>
  </si>
  <si>
    <t>Netherlands</t>
  </si>
  <si>
    <t>Lasisi et al., 2020</t>
  </si>
  <si>
    <t xml:space="preserve">Lasisi, A. A., Akinremi, O. O., &amp; Kumaragamage, D. (2020). Ammonia emission from manures treated with different rates of urease and nitrification inhibitors. Canadian Journal of Soil Science, 100(3), 198-205. https://doi.org/10.1139/cjss-2019-0128 </t>
  </si>
  <si>
    <t>28d</t>
  </si>
  <si>
    <t>Clay loam soil (sand, silt, clay)</t>
  </si>
  <si>
    <t>Field</t>
  </si>
  <si>
    <t>Greenhouse</t>
  </si>
  <si>
    <t>July 2017</t>
  </si>
  <si>
    <t>August 2017</t>
  </si>
  <si>
    <t>Canada (Manitoba)</t>
  </si>
  <si>
    <t>Beef Manure (SBM)</t>
  </si>
  <si>
    <t>Solid</t>
  </si>
  <si>
    <t>Pig Slurry (LPM)</t>
  </si>
  <si>
    <t>Polyvinyl chambers fitted with acid-charged discs (polyethylene foam)</t>
  </si>
  <si>
    <t>Soil Surface broadcasting</t>
  </si>
  <si>
    <r>
      <t>LPM</t>
    </r>
    <r>
      <rPr>
        <vertAlign val="subscript"/>
        <sz val="11"/>
        <color theme="1"/>
        <rFont val="Aptos Narrow"/>
        <family val="2"/>
        <scheme val="minor"/>
      </rPr>
      <t>1.5NBPT</t>
    </r>
  </si>
  <si>
    <r>
      <t>LPM</t>
    </r>
    <r>
      <rPr>
        <vertAlign val="subscript"/>
        <sz val="11"/>
        <color theme="1"/>
        <rFont val="Aptos Narrow"/>
        <family val="2"/>
        <scheme val="minor"/>
      </rPr>
      <t>3NBPT</t>
    </r>
  </si>
  <si>
    <r>
      <t>LPM</t>
    </r>
    <r>
      <rPr>
        <vertAlign val="subscript"/>
        <sz val="11"/>
        <color theme="1"/>
        <rFont val="Aptos Narrow"/>
        <family val="2"/>
        <scheme val="minor"/>
      </rPr>
      <t>1.5DI</t>
    </r>
  </si>
  <si>
    <r>
      <t>LPM</t>
    </r>
    <r>
      <rPr>
        <vertAlign val="subscript"/>
        <sz val="11"/>
        <color theme="1"/>
        <rFont val="Aptos Narrow"/>
        <family val="2"/>
        <scheme val="minor"/>
      </rPr>
      <t>2DI</t>
    </r>
  </si>
  <si>
    <r>
      <t>LPM</t>
    </r>
    <r>
      <rPr>
        <vertAlign val="subscript"/>
        <sz val="11"/>
        <color theme="1"/>
        <rFont val="Aptos Narrow"/>
        <family val="2"/>
        <scheme val="minor"/>
      </rPr>
      <t>3DI</t>
    </r>
  </si>
  <si>
    <r>
      <t>SBM</t>
    </r>
    <r>
      <rPr>
        <vertAlign val="subscript"/>
        <sz val="11"/>
        <color theme="1"/>
        <rFont val="Aptos Narrow"/>
        <family val="2"/>
        <scheme val="minor"/>
      </rPr>
      <t>1.5DI</t>
    </r>
  </si>
  <si>
    <r>
      <t>SBM</t>
    </r>
    <r>
      <rPr>
        <vertAlign val="subscript"/>
        <sz val="11"/>
        <color theme="1"/>
        <rFont val="Aptos Narrow"/>
        <family val="2"/>
        <scheme val="minor"/>
      </rPr>
      <t>2DI</t>
    </r>
  </si>
  <si>
    <r>
      <t>SBM</t>
    </r>
    <r>
      <rPr>
        <vertAlign val="subscript"/>
        <sz val="11"/>
        <color theme="1"/>
        <rFont val="Aptos Narrow"/>
        <family val="2"/>
        <scheme val="minor"/>
      </rPr>
      <t>3DI</t>
    </r>
  </si>
  <si>
    <t xml:space="preserve">July 2017 </t>
  </si>
  <si>
    <t>DI = Double Inhibitor = NBPT + NI</t>
  </si>
  <si>
    <t>app_rate = m3/ha ; Napp_rate = kg/ha ; cum.ref.mass = cum.treat.mass = % of N applied --&gt; 100kg N/ha = kg NH3-N/ha</t>
  </si>
  <si>
    <t>Li et al., 2013</t>
  </si>
  <si>
    <t xml:space="preserve">Li, J., Shi, Y., Luo, J., Zaman, M., Houlbrooke, D., Ding, W., Ledgard, S., &amp; Ghani, A. (2014). Use of nitrogen process inhibitors for reducing gaseous nitrogen losses from land-applied farm effluents. Biology and Fertility of Soils, 50(1), 133-145. https://doi.org/10.1007/s00374-013-0842-2 </t>
  </si>
  <si>
    <t>New Zealand</t>
  </si>
  <si>
    <t>Temperate climate</t>
  </si>
  <si>
    <t>Ryegrass (Lolium perenne L.) + White Clover (Trifoliumrepens L.) pasture</t>
  </si>
  <si>
    <t>Free-draining soil called Bruntwood silt loam (31 % sand, 47 % silt and 22 % clay)</t>
  </si>
  <si>
    <t>Fresh manure(Dairy Cows)</t>
  </si>
  <si>
    <t>Fresh FDE (fresh dairy cow urine and dung at a ratio of 1:1.3 (urine/dung))</t>
  </si>
  <si>
    <t>FDE + NBTPT</t>
  </si>
  <si>
    <t>Fresh Manure + NBTPT</t>
  </si>
  <si>
    <t>27d</t>
  </si>
  <si>
    <t>Enclosure method (acid trap) similar to that used by Sherlock and Goh (1985).</t>
  </si>
  <si>
    <t>Surface-applied</t>
  </si>
  <si>
    <t>DM = % ; Napp_rate = Kg/ha ; cum.ref.mass = cum.treat.mass = kg NH3-N/ha</t>
  </si>
  <si>
    <t>Liu et al., 2022</t>
  </si>
  <si>
    <t xml:space="preserve">Liu, C., Mi, X., Zhang, X., Fan, Y., Zhang, W., Liao, W., Xie, J., Gao, Z., Roelcke, M., &amp; Liu, H. (2022). Impacts of slurry application methods and inhibitors on gaseous emissions and N2O pathways in meadow-cinnamon soil. Journal of Environmental Management, 318, 115560. https://doi.org/https://doi.org/10.1016/j.jenvman.2022.115560 </t>
  </si>
  <si>
    <t>Semi-humid climate</t>
  </si>
  <si>
    <t>Meadow-cinnamon soil</t>
  </si>
  <si>
    <t>Cattle slurry</t>
  </si>
  <si>
    <t>Maize hybrid (Zea mays L.)</t>
  </si>
  <si>
    <t>2019-06-25 and 2019-07-15</t>
  </si>
  <si>
    <t>SA-S : Slurry Surface application method</t>
  </si>
  <si>
    <t>Chemical fertilizer + Urea</t>
  </si>
  <si>
    <t>Incubation Experiment</t>
  </si>
  <si>
    <t>NH3 : Drãger Tube Method (DTM) (Pacholski et al., 2006).</t>
  </si>
  <si>
    <t>Dynamic chamber (acid trap strategy) for NH3 measurement (Liao et al., 2018)</t>
  </si>
  <si>
    <t>(Basal app) BA-S : Slurry Band application method</t>
  </si>
  <si>
    <t>(Topdressing) BA-S : Slurry Band application method</t>
  </si>
  <si>
    <t>(Basal app) BA-C : Chemical fertilizer+Urea Band application method</t>
  </si>
  <si>
    <t>(Topdressing) BA-C : Chemical fertilizer+Urea Band application method</t>
  </si>
  <si>
    <t>13d</t>
  </si>
  <si>
    <t>Incorporation method</t>
  </si>
  <si>
    <t>IA-CK (without inhibitors)</t>
  </si>
  <si>
    <t>IA-DCD (Slurry + DCD)</t>
  </si>
  <si>
    <t>IA-PC (Slurry + PC)</t>
  </si>
  <si>
    <t>IA-DCD + PC (Slurry + DCD + PC)</t>
  </si>
  <si>
    <t>SA-DCD (Slurry with DCD)</t>
  </si>
  <si>
    <t>SA-PC (Slurry with PC)</t>
  </si>
  <si>
    <t>SA-DCD + PC (Slurry with DCD + PC)</t>
  </si>
  <si>
    <t>Surface application SA-CK</t>
  </si>
  <si>
    <t>40d</t>
  </si>
  <si>
    <t>Napp_rate = kg N/ha ; cum.ref.mass = cum.treat.mass = mg NH3-N/m2</t>
  </si>
  <si>
    <t>Lovanh et al., 2010</t>
  </si>
  <si>
    <t xml:space="preserve">Lovanh, N., Warren, J., &amp; Sistani, K. (2010). Determination of ammonia and greenhouse gas emissions from land application of swine slurry: A comparison of three application methods. Bioresource Technology, 101(6), 1662-1667. https://doi.org/https://doi.org/10.1016/j.biortech.2009.09.078 </t>
  </si>
  <si>
    <t>USA - Kentucky</t>
  </si>
  <si>
    <t>Swine Slurry (Sus scrofa)</t>
  </si>
  <si>
    <t>Spring 2007</t>
  </si>
  <si>
    <t>No-till Corn &amp; Soybean</t>
  </si>
  <si>
    <t>Nicholson silt loam (Fine-silty, mixed, active, mesic Oxyaquic Fragiudalfs)</t>
  </si>
  <si>
    <t>Surface Spray</t>
  </si>
  <si>
    <t>Closed-Chamber Technique</t>
  </si>
  <si>
    <t>Immediately -72h - 216h</t>
  </si>
  <si>
    <t>Row Injection (R)</t>
  </si>
  <si>
    <t>Aerway Injection (A)</t>
  </si>
  <si>
    <t>app_rate = L/ha ; Napp_rate = kg/ha</t>
  </si>
  <si>
    <t>Maris et al., 2021</t>
  </si>
  <si>
    <t xml:space="preserve">Maris, S. C., Abalos, D., Capra, F., Moscatelli, G., Scaglia, F., Cely Reyes, G. E., Ardenti, F., Boselli, R., Ferrarini, A., Mantovi, P., Tabaglio, V., &amp; Fiorini, A. (2021). Strong potential of slurry application timing and method to reduce N losses in a permanent grassland. Agriculture, Ecosystems &amp; Environment, 311, 107329. https://doi.org/https://doi.org/10.1016/j.agee.2021.107329 </t>
  </si>
  <si>
    <t>Italy</t>
  </si>
  <si>
    <t>Loamy-skeletal, mixed, mesic Typic Ustochrepts + Silty clay loam texture (sand, silt, and clay)</t>
  </si>
  <si>
    <t>Permanent grassland</t>
  </si>
  <si>
    <t>Surface broadcast (SB)</t>
  </si>
  <si>
    <t>Injection (INJ) : shallow injection 5/10-cm depth</t>
  </si>
  <si>
    <t>Three Wind Tunnels System</t>
  </si>
  <si>
    <t>75h</t>
  </si>
  <si>
    <t>100h</t>
  </si>
  <si>
    <t>120h</t>
  </si>
  <si>
    <t>app_rate = t/ha ; Napp_rate = kg N/ha ; cum.ref.mass = cum.treat.mass = kg NH3-N/ha</t>
  </si>
  <si>
    <t>Moore et al.,  2011</t>
  </si>
  <si>
    <t xml:space="preserve">Moore Jr., P. A., Miles, D., Burns, R., Pote, D., Berg, K., &amp; Choi, I. H. (2011). Ammonia Emission Factors from Broiler Litter in Barns, in Storage, and after Land Application. Journal of Environmental Quality, 40(5), 1395-1404. https://doi.org/https://doi.org/10.2134/jeq2009.0383 </t>
  </si>
  <si>
    <t>USA-Arkansas</t>
  </si>
  <si>
    <t>Field application</t>
  </si>
  <si>
    <t>Wind tunnel experiment</t>
  </si>
  <si>
    <t>May 2006</t>
  </si>
  <si>
    <t>17d</t>
  </si>
  <si>
    <t>Surface broadcast</t>
  </si>
  <si>
    <t>Litter Incorporation</t>
  </si>
  <si>
    <t>Bermudagrass (Cynodon dactylon)</t>
  </si>
  <si>
    <t>Poultry Manure</t>
  </si>
  <si>
    <t>app_rate = Mg/ha ; Napp_rate = kg N/ha ; cum.ref.mass = cum.treat.mass = kg NH3-N/ha</t>
  </si>
  <si>
    <t>Myers et al., 2013</t>
  </si>
  <si>
    <t xml:space="preserve">Myers, T. L., Dell, C. J., &amp; Beegle, D. B. (2013). Evaluation of ammonia emissions from manure incorporated with different soil aerator configurations. Journal of Soil and Water Conservation, 68(4), 306-314. https://doi.org/10.2489/jswc.68.4.306 </t>
  </si>
  <si>
    <t>Murrill channery silt loam (mixed, semiactive, mesic Typic Hapludults) with 0% to 3% slopes</t>
  </si>
  <si>
    <t>Corn (Dekalb DKC 57-79)</t>
  </si>
  <si>
    <t>Pioneer 37Y14 + Lime(planted in march 2008)</t>
  </si>
  <si>
    <t>SURF (surface broadcast without incorporation)</t>
  </si>
  <si>
    <t>AFT0 (manure banded behind aerator with no offset)</t>
  </si>
  <si>
    <t>AFT10 (manure banded behind the aerator with 10° offset)</t>
  </si>
  <si>
    <t>BF0 (manure broadcast ahead of aerator and no toolbar offset)</t>
  </si>
  <si>
    <t>BF10 (manure broadcast ahead of aerator with 10° offset)</t>
  </si>
  <si>
    <t xml:space="preserve">Swine Slurry  </t>
  </si>
  <si>
    <t>May 2008</t>
  </si>
  <si>
    <t>May 2009</t>
  </si>
  <si>
    <t>Dynamic chamber technique (Svensson 1994)</t>
  </si>
  <si>
    <t xml:space="preserve">DM = % ; app_rate = L/ha ; Napp_rate = kg total N/ha ; cum.ref.mass = cum.treat.mass = kg NH3-N/ha </t>
  </si>
  <si>
    <t>Nyameasem et al., 2022</t>
  </si>
  <si>
    <t xml:space="preserve">Nyameasem, J. K., Zutz, M., Kluß, C., Huf, M. t., Essich, C., Buchen-Tschiskale, C., Ruser, R., Flessa, H., Olfs, H.-W., Taube, F., &amp; Reinsch, T. (2022). Impact of cattle slurry application methods on ammonia losses and grassland nitrogen use efficiency. Environmental Pollution, 315, 120302. https://doi.org/https://doi.org/10.1016/j.envpol.2022.120302 </t>
  </si>
  <si>
    <t>Germany</t>
  </si>
  <si>
    <t>1-(BR) - Bredenbek &gt; N 54◦03′16′′ , E 09◦51′ 30"</t>
  </si>
  <si>
    <t>2-(BR) - Bredenbek &gt; N 54◦03′16′′ , E09◦51′30′′ )</t>
  </si>
  <si>
    <t>1-(HS) - Holtsee &gt; N 54◦23′16′′ , E 09◦50′ 46"</t>
  </si>
  <si>
    <t>2-(HS) - Holtsee &gt; N 54◦23′16′′ , E 09◦50′ 46"</t>
  </si>
  <si>
    <t>1-(OB) - Osnabrück &gt; N 52◦09′17′′ , E08◦08′ 07"</t>
  </si>
  <si>
    <t>2-(OB) - Osnabrück &gt; N 52◦08′26′′ , E 08◦09′01′′</t>
  </si>
  <si>
    <t>1-(HH) - Hohenheim University &gt; N 48◦42′55′′ , E09◦13′ 11"</t>
  </si>
  <si>
    <t>2-(HH) - Hohenheim University &gt; N 48◦43′02′′ , E 09◦13′06′′</t>
  </si>
  <si>
    <t>Trailing Shoe (TS) application of cattle slurry</t>
  </si>
  <si>
    <t>Open slot injection (SI)</t>
  </si>
  <si>
    <t>Trailing Shoe (TS + A) of acidified cattle slurry</t>
  </si>
  <si>
    <t>Open slot injection (SI + NI) of a nitrification inhibitor (NI)-treated cattle slurry</t>
  </si>
  <si>
    <t>Acidification (TS + A)</t>
  </si>
  <si>
    <t>Nitrification SI + NI</t>
  </si>
  <si>
    <t>Cattle Slurry</t>
  </si>
  <si>
    <t>Calibrated passive samplers (CPS) in conjunction with the Dynamic tube method (DTM), according to Pacholski (2016)</t>
  </si>
  <si>
    <t>Luvisol (sand 59%, silt 30%, clay 11%)</t>
  </si>
  <si>
    <t>Luvisol (sand 56%, silt 32%, clay 12%)</t>
  </si>
  <si>
    <t>Luvisol (sand 57%, silt 33%, clay 10%)</t>
  </si>
  <si>
    <t>Luvisol (sand 67%, silt 25%, clay 8%)</t>
  </si>
  <si>
    <t>Plaggic Anthrosol (sand 68%, silt 20%, clay 12%)</t>
  </si>
  <si>
    <t>Gleysol (sand 51%, silt 42%, clay 7%)</t>
  </si>
  <si>
    <t>Calcaric Regosol  (sand 12%, silt 67%, clay 21%)</t>
  </si>
  <si>
    <t>Calcaric Regosol  (sand 16%, silt 69%, clay 15%)</t>
  </si>
  <si>
    <t>Grassland</t>
  </si>
  <si>
    <t>cum.ref.TAN.sd</t>
  </si>
  <si>
    <t>cum.treat.TAN.sd</t>
  </si>
  <si>
    <t>2019-03-25 and 2019-05-20</t>
  </si>
  <si>
    <t>2020-03-31 and 2020-06-02</t>
  </si>
  <si>
    <t>2019-04-01 and 2019-05-28</t>
  </si>
  <si>
    <t>2020-03-23 and 2020-06-03</t>
  </si>
  <si>
    <t>2d to 7d</t>
  </si>
  <si>
    <t>2019-04-01 and 2019-05-20</t>
  </si>
  <si>
    <t>2020-05-18 and 2020-06-23</t>
  </si>
  <si>
    <t>2019-03-20 and 2019-05-23</t>
  </si>
  <si>
    <t>2020-03-16 and 2020-05-20</t>
  </si>
  <si>
    <t>DM = % ; Napp_rate = kg N/ha ; cum.ref.TAN = cum.treat.TAN = %</t>
  </si>
  <si>
    <t>Owusu-Twum et al., 2017</t>
  </si>
  <si>
    <t xml:space="preserve">Owusu-Twum, M. Y., Polastre, A., Subedi, R., Santos, A. S., Mendes Ferreira, L. M., Coutinho, J., &amp; Trindade, H. (2017). Gaseous emissions and modification of slurry composition during storage and after field application: Effect of slurry additives and mechanical separation. Journal of Environmental Management, 200, 416-422. https://doi.org/https://doi.org/10.1016/j.jenvman.2017.06.004 </t>
  </si>
  <si>
    <t>Experiment 2 : after field application.</t>
  </si>
  <si>
    <t>June 2013</t>
  </si>
  <si>
    <t>Liquid fraction (LF)</t>
  </si>
  <si>
    <t>Composted solid fraction (CSF)</t>
  </si>
  <si>
    <t>LF + H2SO4 (LFA)</t>
  </si>
  <si>
    <t>LF + Biobuster® (LFB)</t>
  </si>
  <si>
    <t>LF + JASS® (LFJ)</t>
  </si>
  <si>
    <t>Watering can (without the nozzle) to simulate the band spreading technique</t>
  </si>
  <si>
    <t>Applied using a small bucket</t>
  </si>
  <si>
    <t>Dynamic Chamber Technique.</t>
  </si>
  <si>
    <t>October 2014</t>
  </si>
  <si>
    <t>3d</t>
  </si>
  <si>
    <t>Dystric cambisol (Fine (373.92g kg-1), Silt (278.46g kg-1), Clay (116.54g kg-1), Moisture (9,97%))</t>
  </si>
  <si>
    <t>DM = % ; Napp_rate = kg N/ha ; cum.ref.TAN = cum.treat.TAN = % ; cum.ref.mass = cum.treat.mass = mg NH3-N/m3(for the storage) = kg NH3-N/ha (for the field application)</t>
  </si>
  <si>
    <t>Napp_rate = kg/ha ; cum.ref.mass = cum.treat.mass = kg NH3-N/ha</t>
  </si>
  <si>
    <t>Typic Paleudult -&gt; 103 g kg-1 clay and 687 g kg-1 sand in the top 10 cm + dolomitic limestone</t>
  </si>
  <si>
    <t>Typic Paleudult -&gt; 192 g kg-1 clay and 443 g kg-1 sand in the top 10 cm + dolomitic limestone</t>
  </si>
  <si>
    <t>Pig Slurry</t>
  </si>
  <si>
    <t>Pedersen and Nyord 2023</t>
  </si>
  <si>
    <t>Pedersen, J., &amp; Nyord, T. (2023). Effect of low-dose acidification of slurry digestate on ammonia emissions after field application (Short Communication). Atmospheric Environment: X, 17, 100205. https://doi.org/https://doi.org/10.1016/j.aeaoa.2023.100205</t>
  </si>
  <si>
    <t>Denmark</t>
  </si>
  <si>
    <t>A</t>
  </si>
  <si>
    <t>B</t>
  </si>
  <si>
    <t>C</t>
  </si>
  <si>
    <t>Digested Cattle Slurry</t>
  </si>
  <si>
    <t>Coarse sand soil</t>
  </si>
  <si>
    <t>Loamy sand soil</t>
  </si>
  <si>
    <t>Grass</t>
  </si>
  <si>
    <t>110h</t>
  </si>
  <si>
    <t>Acidification</t>
  </si>
  <si>
    <t>Double disc injection (Manually applied &gt; watering can)</t>
  </si>
  <si>
    <t>Trailing shoe (Manually applied &gt; watering can)</t>
  </si>
  <si>
    <t>(Wind Tunnels) Dynamic chambers + online measurements</t>
  </si>
  <si>
    <t>Pedersen et al., 2020</t>
  </si>
  <si>
    <t>Pedersen, J. M., Feilberg, A., Kamp, J. N., Hafner, S., &amp; Nyord, T. (2020). Ammonia emission measurement with an online wind tunnel system for evaluation of manure application techniques. Atmospheric Environment, 230, 117562. https://doi.org/https://doi.org/10.1016/j.atmosenv.2020.117562</t>
  </si>
  <si>
    <t>Spring 2018</t>
  </si>
  <si>
    <t>Summer 2018</t>
  </si>
  <si>
    <t>Coarse sand</t>
  </si>
  <si>
    <t>Winter wheat</t>
  </si>
  <si>
    <t>Loamy sand</t>
  </si>
  <si>
    <t>Sandy loam</t>
  </si>
  <si>
    <t>D</t>
  </si>
  <si>
    <t>E</t>
  </si>
  <si>
    <t>F</t>
  </si>
  <si>
    <t>H</t>
  </si>
  <si>
    <t>I</t>
  </si>
  <si>
    <t>J</t>
  </si>
  <si>
    <t>90h</t>
  </si>
  <si>
    <t>D, E and H, I, J were performed on 2 different fields with the same loamy sand soil : My thought is that  D and E were conducted on  different fields than H, I, J</t>
  </si>
  <si>
    <t>Experiments A, B, C and F, G were conducted in the same field</t>
  </si>
  <si>
    <t>3 application techniques were used : trailing shoes (applied manually by a hose attached to a watering can) ; trailing hoses (at the soil surface) ; trailing hoses used with a distance between the trailing hoses and the ground (20 cm above the grass canopy)</t>
  </si>
  <si>
    <t>Trailing Shoes (applied manually by a hose attached to a watering can)</t>
  </si>
  <si>
    <t>As the force of the shoes is mentioned in table 1 then the corresponding experiment is investigating trailing shoes</t>
  </si>
  <si>
    <t>Ten experiments were performed testing the effect of trailing shoes compared to trailing hoses</t>
  </si>
  <si>
    <t xml:space="preserve">Trailing Hoses </t>
  </si>
  <si>
    <t>Trailing Hoses lifted 20 cm (Hoses20) above the grass canopy</t>
  </si>
  <si>
    <t>For F and G: I have compared the trailing shoes from experiment F to trailing hoes from experiment G. For example the reference (trailing hoses) in G on coarse sand is compared to treatment (trailing shoes) in F on the same coarse sand soil which interests us. However in the study, they also compared CS to SL and LS which I supposed is not interesting for the database but I can compute that in row 270 to 272</t>
  </si>
  <si>
    <t>Wind Tunnels operated as dynamic chambers + online measurements</t>
  </si>
  <si>
    <t xml:space="preserve">Pedersen, J., Andersson, K., Feilberg, A., Delin, S., Hafner, S., &amp; Nyord, T. (2021). Effect of exposed surface area on ammonia emissions from untreated, separated, and digested cattle manure. Biosystems Engineering, 202, 66-78. https://doi.org/https://doi.org/10.1016/j.biosystemseng.2020.12.005 </t>
  </si>
  <si>
    <t>Pedersen et al., 2020-2021</t>
  </si>
  <si>
    <t>Spring Oats stubble</t>
  </si>
  <si>
    <t>Sweden</t>
  </si>
  <si>
    <t xml:space="preserve">Wind Tunnels with online measurements </t>
  </si>
  <si>
    <t>Trailing Hoses applied in bands</t>
  </si>
  <si>
    <t>Cattle manure</t>
  </si>
  <si>
    <t>Manually applied with a watering can fitted with Trailing Hoses applied in bands at the soil surface.</t>
  </si>
  <si>
    <t>Silty Clay (43% clay and 11% sand)</t>
  </si>
  <si>
    <t>Sandy Loam (14% clay and 71% sand)</t>
  </si>
  <si>
    <t>Digested</t>
  </si>
  <si>
    <t>Separated</t>
  </si>
  <si>
    <t>&lt;0,01</t>
  </si>
  <si>
    <t>Cattle manure + Pig slurry + other substrates</t>
  </si>
  <si>
    <t>Pedersen et al., 2022</t>
  </si>
  <si>
    <t xml:space="preserve">Pedersen, J., Feilberg, A., &amp; Nyord, T. (2022). Effect of storage and field acidification on emissions of NH3, NMVOC, and odour from field applied slurry in winter conditions. Journal of Environmental Management, 310, 114756. https://doi.org/https://doi.org/10.1016/j.jenvman.2022.114756 </t>
  </si>
  <si>
    <t>160h</t>
  </si>
  <si>
    <t>Loamy sand (Typic Hapledult) with a clay content of 9%</t>
  </si>
  <si>
    <t>Dec 2020</t>
  </si>
  <si>
    <t>Pig A</t>
  </si>
  <si>
    <t>Pig B</t>
  </si>
  <si>
    <t>Cattle A</t>
  </si>
  <si>
    <t>Cattle B</t>
  </si>
  <si>
    <t>Trailing hoses in narrow bands at the soil surface</t>
  </si>
  <si>
    <t>Field acidified</t>
  </si>
  <si>
    <t>Storage acidified</t>
  </si>
  <si>
    <t>The TAN applied was not given but NH4-N rate was given</t>
  </si>
  <si>
    <t>Dynamic chambers (Wind Tunnels) + online measurements</t>
  </si>
  <si>
    <t>Pfluke et al., 2011</t>
  </si>
  <si>
    <t xml:space="preserve">Pfluke, P. D., Jokela, W. E., &amp; Bosworth, S. C. (2011). Ammonia Volatilization from Surface-Banded and Broadcast Application of Liquid Dairy Manure on Grass Forage. Journal of Environmental Quality, 40(2), 374-382. https://doi.org/https://doi.org/10.2134/jeq2010.0102 </t>
  </si>
  <si>
    <t xml:space="preserve">Dairy Manure </t>
  </si>
  <si>
    <t>1 : Shelburne</t>
  </si>
  <si>
    <t>2 : Shelburne</t>
  </si>
  <si>
    <t>3 : Swift St.</t>
  </si>
  <si>
    <t>4 : Shelburne</t>
  </si>
  <si>
    <t>5 : Swift St.</t>
  </si>
  <si>
    <t>6 : Shelburne</t>
  </si>
  <si>
    <t>7 : Shelburne</t>
  </si>
  <si>
    <t>8 ; Swift St.</t>
  </si>
  <si>
    <t>Orchardgrass (Dactylus glomerata L.)</t>
  </si>
  <si>
    <t>Well-drained Galway (coarse-loamy, mixed, superactive, mesic Typic Eutrudepts) silt loam</t>
  </si>
  <si>
    <t>Palaton reed canarygrass (Phalaris arundinacea L.)</t>
  </si>
  <si>
    <t>Moderately, well-drained Kingsbury (very-fine, mixed, active, mesic Aeric Endoaqualfs) clay</t>
  </si>
  <si>
    <t>may 1995</t>
  </si>
  <si>
    <t>June 1997</t>
  </si>
  <si>
    <t>Broadcast low</t>
  </si>
  <si>
    <t>Broadcast high</t>
  </si>
  <si>
    <t>Trailing-foot Band low</t>
  </si>
  <si>
    <t>Trailing-foot Band high</t>
  </si>
  <si>
    <t>Dynamic chamber/Equilibrium concentration technique (Svensson and Ferm, 1993; Svensson, 1994a) using 2 types of passive diffusion samplers (PDS)</t>
  </si>
  <si>
    <t>early Spring (May 1995)</t>
  </si>
  <si>
    <t>early Spring (July 1995)</t>
  </si>
  <si>
    <t>late Fall (Oct. 1995)</t>
  </si>
  <si>
    <t>early Spring (June 1996)</t>
  </si>
  <si>
    <t>late Fall (Aug. 1996)</t>
  </si>
  <si>
    <t>early Spring (June 1997)</t>
  </si>
  <si>
    <t>early Spring (Aug. 1996)</t>
  </si>
  <si>
    <t>late Fall (June 1997)</t>
  </si>
  <si>
    <t>2,5d</t>
  </si>
  <si>
    <t>1,5d</t>
  </si>
  <si>
    <t>5,5d</t>
  </si>
  <si>
    <t>6,5d</t>
  </si>
  <si>
    <t>3,5d</t>
  </si>
  <si>
    <t>DM = g/kg ; TAN  = kg/ha ; app_rate  = m3/ha ; cum.treat.TAN = cum.ref.mass = NH3-N % of TAN  ; cum.ref.mass = cum.treat.mass = kg NH3-N/ha</t>
  </si>
  <si>
    <t>Pote et al., 2011</t>
  </si>
  <si>
    <t xml:space="preserve">Pote, D. H., Way, T. R., Kleinman, P. J. A., Moore Jr., P. A., Meisinger, J. J., Sistani, K. R., Saporito, L. S., Allen, A. L., &amp; Feyereisen, G. W. (2011). Subsurface Application of Poultry Litter in Pasture and No-Till Soils. Journal of Environmental Quality, 40(2), 402-411. https://doi.org/https://doi.org/10.2134/jeq2010.0352 </t>
  </si>
  <si>
    <t>Poultry litter</t>
  </si>
  <si>
    <t>University of Maryland Eastern Shore</t>
  </si>
  <si>
    <t>USA - Maryland</t>
  </si>
  <si>
    <t>No-Till Corn (corn-soybean-wheat rotation)</t>
  </si>
  <si>
    <t>Subsurface using the Adjustable-Band Implement (band spacing set at 75 cm)</t>
  </si>
  <si>
    <t>Poorly drained Othello series (fine-silty, mixed, active, mesic Typic Endoaquult) to the Well drained Matapeake series (fine-silty, mixed, semi-active, mesic Typic Hapludult)</t>
  </si>
  <si>
    <t xml:space="preserve">app_rate = Mg/ha  </t>
  </si>
  <si>
    <t>Pote and Meisinger 2014</t>
  </si>
  <si>
    <t xml:space="preserve">Pote, D. H., &amp; Meisinger, J. J. (2014). Effect of poultry litter application method on ammonia volatilization from a conservation tillage system. Journal of Soil and Water Conservation, 69(1), 17-25. https://doi.org/10.2489/jswc.69.1.17 </t>
  </si>
  <si>
    <t>USDA Agricultural Research Service</t>
  </si>
  <si>
    <t>Loam texture (35% sand, 45% silt, and 20% clay) + moderately well-drained + Codorus silt loam (fine-loamy, mixed, active mesic, Typic Fluvaquentic Dystrudepts)</t>
  </si>
  <si>
    <t>Small mobile Wind Tunnels</t>
  </si>
  <si>
    <t>6d</t>
  </si>
  <si>
    <t>5d</t>
  </si>
  <si>
    <t>High-residue conservation tillage systems (Chopped Wheat Straw)</t>
  </si>
  <si>
    <t>Surface spreading with no incorporation</t>
  </si>
  <si>
    <t>Surface spreading followed by light disking</t>
  </si>
  <si>
    <t>(Injected) Subsurface banding using the prototype USDA ARS applicator</t>
  </si>
  <si>
    <t>In table 2 and 3 NH3-N loss data are expressed as % of NH4-N. So I used the NH4-N applied rate to calculate the NH3-N mass loss</t>
  </si>
  <si>
    <t>DM = % ; app_rate = kg litter/ha ; Napp_rate = kg N/ha ; cum.treat.mass = cum.ref.mass = kg NH3-N/ha</t>
  </si>
  <si>
    <t>Powell et al., 2011</t>
  </si>
  <si>
    <t xml:space="preserve">Powell, J. M., Jokela, W. E., &amp; Misselbrook, T. H. (2011). Dairy Slurry Application Method Impacts Ammonia Emission and Nitrate Leaching in No-Till Corn Silage. Journal of Environmental Quality, 40(2), 383-392. https://doi.org/https://doi.org/10.2134/jeq2010.0082 </t>
  </si>
  <si>
    <t>USA - Wisconsin</t>
  </si>
  <si>
    <t>McHenry silt loam (fine-loamy, mixed, superactive, mesic Typic Hapludalf ) characterized as well drained</t>
  </si>
  <si>
    <t>SURF &gt; Surface applied using a splash plate only</t>
  </si>
  <si>
    <t>AER-INC &gt; surface-applied using a splash plate, in tandem with and immediately followed by an aeration tool</t>
  </si>
  <si>
    <t>INJ &gt; Narrow-shank injecton</t>
  </si>
  <si>
    <t>Spring 2004</t>
  </si>
  <si>
    <t>Spring 2005</t>
  </si>
  <si>
    <t>Spring 2006</t>
  </si>
  <si>
    <t>Dynamic chamber/equilibrium concentration technique developed by Svensson (1994)</t>
  </si>
  <si>
    <t>Oat (Avena sativa L.)</t>
  </si>
  <si>
    <t>Corn (Zea mays L.)</t>
  </si>
  <si>
    <t>Corn corn (Zea mays L.) + Winter rye (Secale cereale L.)</t>
  </si>
  <si>
    <t>Dairy (cows) Slurry</t>
  </si>
  <si>
    <t>DM = g/kg ; TAN(applied rate) = kg/ha ; app_rate = m3/ha ; Napp_rate = kg/ha ; cum.treat.TAN = cum.ref.TAN = % of applied TAN ; cum.ref.mass = cum.treat.mass = kg NH3-N/ha</t>
  </si>
  <si>
    <t>Assuming a slurry density of 1000 kg m-3</t>
  </si>
  <si>
    <t>Recio et al., 2018</t>
  </si>
  <si>
    <t xml:space="preserve">Recio, J., Vallejo, A., Le-Noë, J., Garnier, J., García-Marco, S., Álvarez, J. M., &amp; Sanz-Cobena, A. (2018). The effect of nitrification inhibitors on NH3 and N2O emissions in highly N fertilized irrigated Mediterranean cropping systems. Science of The Total Environment, 636, 427-436. https://doi.org/https://doi.org/10.1016/j.scitotenv.2018.04.294 </t>
  </si>
  <si>
    <t>(40°03'N, 03°31'W, 550 m a.s.l.)</t>
  </si>
  <si>
    <t>Mediterranean semi-arid</t>
  </si>
  <si>
    <t>Silty Clay Loam (clay  250 g kg−1; silt 490 g kg−1; sand 260 g kg−1) &gt; Typic Calcixerept (Soil Survey Staff, 1992)</t>
  </si>
  <si>
    <t xml:space="preserve">PS-CAN+NI : CAN+DMPSA </t>
  </si>
  <si>
    <t>Surface-applied + immediate incorporation up to 10 cm depth with a cultivator</t>
  </si>
  <si>
    <t>Maize (Zea mays L. FAO class 600)</t>
  </si>
  <si>
    <t>Integrated Horizontal Flux method (IHF)</t>
  </si>
  <si>
    <t>22d + 22d</t>
  </si>
  <si>
    <t>Napp_rate = kg N/ha ; cum.trreat.mass = cum.ref.mass = kg NH3-N / ha</t>
  </si>
  <si>
    <t>(COMPLETED)Period II : applying nitrification inhibitor DMPSA and CAN. SO Finally we have (PS + DMPP) 50 kg N/ha + (CAN + DMPSA) 150kg N/ha = 200kg N/ha</t>
  </si>
  <si>
    <t>Sadeghpour et al., 2015</t>
  </si>
  <si>
    <t xml:space="preserve">Sadeghpour, A., Hashemi, M., Weis, S. A., Spargo, J. T., Mehrvarz, S., &amp; Herbert, S. J. (2015). Assessing Tillage Systems for Reducing Ammonia Volatilization from Spring-Applied Slurry Manure. Communications in Soil Science and Plant Analysis, 46(6), 724-735. https://doi.org/10.1080/00103624.2015.1005223 </t>
  </si>
  <si>
    <t>USA - Massachusetts</t>
  </si>
  <si>
    <t>(42. N, 73. W)</t>
  </si>
  <si>
    <t>Disk before manure application</t>
  </si>
  <si>
    <t>Disk after manure application</t>
  </si>
  <si>
    <t>Aeration before manure application</t>
  </si>
  <si>
    <t>Aeration after manure application</t>
  </si>
  <si>
    <t>No-till</t>
  </si>
  <si>
    <t>In no-till plots, manure was applied from a toolbar with six outlets placed above splash plates</t>
  </si>
  <si>
    <t>Dairy manure</t>
  </si>
  <si>
    <t>Corn hybrid [TA290-11 (CB/LL)]</t>
  </si>
  <si>
    <t>Chamber containing a sampling jar of 0.02 H2SO4 was placed on each manure treatment plot for 1 h</t>
  </si>
  <si>
    <t>78h</t>
  </si>
  <si>
    <t>DM = kg/ha ; app_rate = L/ha ; Napp_rate = kg/ha ; cum.treat.mass = cum.ref.mass = kg NH3-H/ha</t>
  </si>
  <si>
    <t>Sanz-Cobena et al., 2019</t>
  </si>
  <si>
    <t xml:space="preserve">Sanz-Cobena, A., Misselbrook, T. H., Hernáiz, P., &amp; Vallejo, A. (2019). Impact of rainfall to the effectiveness of pig slurry shallow injection method for NH3 mitigation in a Mediterranean soil. Atmospheric Environment, 216, 116913. https://doi.org/https://doi.org/10.1016/j.atmosenv.2019.116913 </t>
  </si>
  <si>
    <t>Mediterranean</t>
  </si>
  <si>
    <t>(40°18' 14'' N; 3° 25' 57'' W)</t>
  </si>
  <si>
    <t>Barley (Hordeum vulgare)</t>
  </si>
  <si>
    <t>Typic Xerofluvent soil -&gt; sand, 37%; silt, 45%; and clay, 13%</t>
  </si>
  <si>
    <t>Campaign 1</t>
  </si>
  <si>
    <t>Campaign 2</t>
  </si>
  <si>
    <t>Pig Slurry (PS) &gt; (liquid fraction)</t>
  </si>
  <si>
    <t>Surface application (SPS)</t>
  </si>
  <si>
    <t>Shallow injection (IPS)</t>
  </si>
  <si>
    <t xml:space="preserve">November </t>
  </si>
  <si>
    <t>December</t>
  </si>
  <si>
    <t>Integrated Horizontal Flux method (IHF) implemented by Leuning et al. (1985) and further modified by Sherlock et al. (1989)</t>
  </si>
  <si>
    <t>12d</t>
  </si>
  <si>
    <t>Average soil temperature was similar for the two campaigns (13.9 and 15.1 °C, respectively) but there were large differences in rainfall and consequently soil moisture. + Cumulative rainfall over the 12 days following slurry application in Campaign I was 48.2 mm, with 25.4mm within the first 48 h</t>
  </si>
  <si>
    <t xml:space="preserve">DM = % ; TAN = kg/ha ; app_rate = m3/plots ; Napp_rate = kg N/ha ; cum.ref.TAN = cum.treat.TAN = % ; cum.ref.mass = cum.treat.mass = kg NH3-N / ha </t>
  </si>
  <si>
    <t>Shah et al., 2018</t>
  </si>
  <si>
    <t xml:space="preserve">Shah, G. A., Shah, G. M., Rashid, M. I., Groot, J. C. J., Traore, B., &amp; Lantinga, E. A. (2018). Bedding additives reduce ammonia emission and improve crop N uptake after soil application of solid cattle manure. Journal of Environmental Management, 209, 195-204. https://doi.org/https://doi.org/10.1016/j.jenvman.2017.12.035 </t>
  </si>
  <si>
    <t>SCM + Zeolite</t>
  </si>
  <si>
    <t>SCM + Farm topsoil</t>
  </si>
  <si>
    <t>SCM + Lava meal</t>
  </si>
  <si>
    <t>Surface spreading</t>
  </si>
  <si>
    <t>Solid Cattle Manure(SCM)</t>
  </si>
  <si>
    <t>Expt.1</t>
  </si>
  <si>
    <t>Passive diffusion flux samplers</t>
  </si>
  <si>
    <t>Sandy soil</t>
  </si>
  <si>
    <t>DM = g/kg ; Napp_rate = kg N/ha</t>
  </si>
  <si>
    <t>Sherman et al., 2021</t>
  </si>
  <si>
    <t xml:space="preserve">Sherman, J., Young, E., Jokela, W., &amp; Cavadini, J. (2021). Impacts of Low Disturbance Liquid Dairy Manure Incorporation on Alfalfa Yield and Fluxes of Ammonia, Nitrous Oxide, and Methane. Agriculture, 11(8), 750. https://www.mdpi.com/2077-0472/11/8/750 </t>
  </si>
  <si>
    <t>Poorly drained Withee silt loam soil (fine-loamy, mixed, superactive, frigid Aquic Glossudalfs; 1–3% slope)</t>
  </si>
  <si>
    <t>May 2014</t>
  </si>
  <si>
    <t>Dec 2016</t>
  </si>
  <si>
    <t>Alfalfa (Medicago sativa) (Nexgrow–6422Q)</t>
  </si>
  <si>
    <t>Dairy Manure</t>
  </si>
  <si>
    <t>Shallow Injection (Inject)</t>
  </si>
  <si>
    <t>Banded-aerator application (Aerator/Band)</t>
  </si>
  <si>
    <t>Broadcast application (Broadcast)</t>
  </si>
  <si>
    <t>Banded application (Band) with hoses dragging</t>
  </si>
  <si>
    <t>Dynamic Chamber/Equilibrium concentration Technique</t>
  </si>
  <si>
    <t>3d (50h)</t>
  </si>
  <si>
    <t>2015 and 2016</t>
  </si>
  <si>
    <t>app_rate =  L/ha ; Napp_rate = kg N/ha ; cum.treat.mass = cum.ref.mass = kg NH3-N/ha</t>
  </si>
  <si>
    <t>Sherman et al., 2021_b</t>
  </si>
  <si>
    <t xml:space="preserve">Sherman, J. F., Young, E. O., Jokela, W. E., &amp; Cavadini, J. (2021). Impacts of low-disturbance dairy manure incorporation on ammonia and greenhouse gas fluxes in a corn silage–winter rye cover crop system. Journal of Environmental Quality, 50(4), 836-846. https://doi.org/https://doi.org/10.1002/jeq2.20228 </t>
  </si>
  <si>
    <t>Poorly drained Withee silt loam soil (fine-loamy, mixed, superactive, frigid Aquic Glossudalf)</t>
  </si>
  <si>
    <t>May 2013</t>
  </si>
  <si>
    <t>Dec 2015</t>
  </si>
  <si>
    <t>Sweep injection/strip-till (strip-till inject)</t>
  </si>
  <si>
    <t>Coulter injection (coulter inject)</t>
  </si>
  <si>
    <t>Banded-aerator application (aerator/band)</t>
  </si>
  <si>
    <t>Broadcast manure with disk incorporation (broadcast-disk)</t>
  </si>
  <si>
    <t>Broadcast-surface (broadcast-surf)</t>
  </si>
  <si>
    <t>Dynamic chamber/Equilibrium concentration technique (Misselbrook &amp; Hansen, 2001; Svensson, 1994)</t>
  </si>
  <si>
    <t>Corn (Zea mays L.) / Winter rye (Secale cereale L.)</t>
  </si>
  <si>
    <t>In 2013, no overnight measurements were taken the first night due to rain (14.5 mm) + distinctive weather differences between the two study years likely contributed to the relatively large NH3 flux differences</t>
  </si>
  <si>
    <t>app_rate =  L/ha ; Napp_rate = kg TN/ha ; cum.treat.mass = cum.ref.mass = kg NH3-N/ha</t>
  </si>
  <si>
    <t>Sherman et al., 2022</t>
  </si>
  <si>
    <t xml:space="preserve">Sherman, J., Young, E., Jokela, W., &amp; Kieke, B. (2022). Manure Application Timing and Incorporation Effects on Ammonia and Greenhouse Gas Emissions in Corn. Agriculture, 12(11), 1952. https://www.mdpi.com/2077-0472/12/11/1952 </t>
  </si>
  <si>
    <t>Withee silt loam (fine-loamy, mixed, superactive, frigid Aquic Glossudalfs) a somewhat poorly drained soil with 0 to 2% slope</t>
  </si>
  <si>
    <t>Corn silage hybrid (Zea mays L.)</t>
  </si>
  <si>
    <t>Dynamic Chamber/Equilibrium concentration technique</t>
  </si>
  <si>
    <t>Amonia measurement ended just before disking of the 3-day incorporation treatment, so the 3-day treatment represents surface-applied manure for NH3 measurement</t>
  </si>
  <si>
    <t>PP-1-hr (incorporated with a tandem disk immediately)</t>
  </si>
  <si>
    <t>PP-3-day (incorporated with a tandem disk 3 days later)</t>
  </si>
  <si>
    <t>PP-Inject (S-tine injector)</t>
  </si>
  <si>
    <t>SD-Inject</t>
  </si>
  <si>
    <t>SD-Surf</t>
  </si>
  <si>
    <t>PP = Pre-Plant window</t>
  </si>
  <si>
    <t>2010 and 2011</t>
  </si>
  <si>
    <t>2011 and 2011</t>
  </si>
  <si>
    <t>2013 and 2011</t>
  </si>
  <si>
    <t>3d (50-55h)</t>
  </si>
  <si>
    <t>DM = % ; app_rate = L/ha ; Napp_rate = kg TN /ha ; cum.ref.mass = cum.treat.mass = kg NH3-N/ha</t>
  </si>
  <si>
    <t>Silva et al., 2022</t>
  </si>
  <si>
    <t xml:space="preserve">Silva, A. A., Carvalho, M., Coutinho, J., Vasconcelos, E., &amp; Fangueiro, D. (2022). Dairy Slurry Application to Stubble-Covered Soil: A Study on Sustainable Alternatives to Minimize Gaseous Emissions. Agriculture, 12(7), 1021. https://www.mdpi.com/2077-0472/12/7/1021 </t>
  </si>
  <si>
    <t>Vertic cambisol (28.6% clay, 2% organic carbon)</t>
  </si>
  <si>
    <t>7d</t>
  </si>
  <si>
    <t>Wheat Stubble</t>
  </si>
  <si>
    <t>(RDS) Raw dairy slurry placed on the stubble</t>
  </si>
  <si>
    <t>(ADS) Acidified slurry placed on the stubble</t>
  </si>
  <si>
    <t>(IR) Irrigation immediately after dairy slurry application</t>
  </si>
  <si>
    <t>(US) Dairy slurry applied under the stubble - placed on the soil and then covered with stubble</t>
  </si>
  <si>
    <t>Dynamic chamber technique</t>
  </si>
  <si>
    <t>E-AM</t>
  </si>
  <si>
    <t>DM = % ; Napp_rate  = g TN /pot ; cum.ref.mass = cum.treat.mass = mg NH3-N/pot</t>
  </si>
  <si>
    <t>10mm</t>
  </si>
  <si>
    <t>Silva et al., 2022_b</t>
  </si>
  <si>
    <t>Silva, A. A., Fangueiro, D., &amp; Carvalho, M. (2022). Slurry Acidification as a Solution to Minimize Ammonia Emissions from the Combined Application of Animal Manure and Synthetic Fertilizer in No-Tillage. Agronomy, 12(2). DOI: 10.3390/agronomy12020265</t>
  </si>
  <si>
    <t>Experiment 1 (E1)</t>
  </si>
  <si>
    <t>Wheat stubbles</t>
  </si>
  <si>
    <t>Clay loam soil (Vertic soil) with 50.5% sand, 20.9% silt, and 28.6% clay</t>
  </si>
  <si>
    <t>(MAN) Soil application of Dairy manure</t>
  </si>
  <si>
    <t>Urea + Dairy manure (UMAN)</t>
  </si>
  <si>
    <t>Experiment 2 (E2)</t>
  </si>
  <si>
    <t>Sandy soil - Haplic arenosol (texture characteristics: 92.2% sand, 4.5% silt, and 3.3% clay)</t>
  </si>
  <si>
    <t>Oat + Wheat stubbles</t>
  </si>
  <si>
    <t>In Bands by hand (APS -  T0) Acidified pig slurry</t>
  </si>
  <si>
    <t>In Bands by hand (APS -  T8) Acidified pig slurry</t>
  </si>
  <si>
    <t>In Bands by hand(APSU - T0) Acidified pig slurry + Urea</t>
  </si>
  <si>
    <t>In Bands by hand (APSU - T8) Acidified pig slurry + Urea</t>
  </si>
  <si>
    <t>Dynamic chamber system</t>
  </si>
  <si>
    <t>8d</t>
  </si>
  <si>
    <t>Acidification + Urea</t>
  </si>
  <si>
    <t>MAN + Urea</t>
  </si>
  <si>
    <t>MAN + AN</t>
  </si>
  <si>
    <t>Maybe I can compared T0 vs T8 for each treatments</t>
  </si>
  <si>
    <t>DM = % ; Napp_rate = g TN /pot ; cum.ref.mass = cum.treat.mass = mg NH3-N/pot</t>
  </si>
  <si>
    <t>Sommer and Hansen 2022</t>
  </si>
  <si>
    <t xml:space="preserve">Sommer, S. G., &amp; Hansen, M. N. (2022). Incorporation of deep litter reduce ammonia volatilization: Effect of incorporation depth and timing (Short Communication). Atmospheric Environment: X, 13, 100148. https://doi.org/https://doi.org/10.1016/j.aeaoa.2022.100148 </t>
  </si>
  <si>
    <t>Cattle deep litter</t>
  </si>
  <si>
    <t>Wheat stubble</t>
  </si>
  <si>
    <t>Sandy loam (13.1% clay, 81.7% sand and 2.2% organic matter)</t>
  </si>
  <si>
    <t>ZINST Micrometeorological method</t>
  </si>
  <si>
    <t>Harrow5m : Disc-harrow, 5 min, 15–20 cm</t>
  </si>
  <si>
    <t>Plow20m : Plowing, 20 min, 20–25 cm</t>
  </si>
  <si>
    <t>Harrow6h : Disc-harrow, 6 h, 15–20 cm</t>
  </si>
  <si>
    <t>DM = g/kg ; TAN = g N/kg ; app_rate = tons/ha ; Napp_rate = kg N/ha ; cum.treat.TAN = cum.ref.TAN = % ; cum.ref.mass = cum.treat.mass = kg/ha</t>
  </si>
  <si>
    <t>Sun et al., 2014</t>
  </si>
  <si>
    <t xml:space="preserve">Sun, F., Harrison, J. H., Ndegwa, P. M., &amp; Johnson, K. (2014). Effect of Manure Treatment on Ammonia and Greenhouse Gases Emissions Following Surface Application. Water, Air, &amp; Soil Pollution, 225(4), 1923. https://doi.org/10.1007/s11270-014-1923-z </t>
  </si>
  <si>
    <t>USA - Washington</t>
  </si>
  <si>
    <t>Temperate climate typical of the maritime Pacific Northwest</t>
  </si>
  <si>
    <t>Kitsap silt loam (fine-silty, isotic, and mesic Aquandic Dystroxerepts)</t>
  </si>
  <si>
    <t>Orchardgrass (Dactylis glomerata)</t>
  </si>
  <si>
    <t>Timothy (Phleum pratense)</t>
  </si>
  <si>
    <t>Tall fescue (Festuca arundinacea) + Bluegrass (Poa pratensis) + Bentgrass (Agrostis spp.) + white clover (Trifolium hybridum)</t>
  </si>
  <si>
    <t>GasAlert® NH3 detector : single-gas detector that uses an electrochemical cell sensor to measure NH3 within the range of 0–100 ppm</t>
  </si>
  <si>
    <t>Surf-(ADWOS) anaerobically digested manure effluent with large particle solids removed</t>
  </si>
  <si>
    <t>Anaerobical digestion + Large particle separation</t>
  </si>
  <si>
    <t>2010-06-29 and 2010-07-08 and 2010-07-28 and 2010-08-11 and 2010-08-25</t>
  </si>
  <si>
    <t>Surf-(NADWS) raw liquid manure with large particle solids</t>
  </si>
  <si>
    <t>9w (3d after each application)</t>
  </si>
  <si>
    <t>Surf-(NADWOS) raw liquid manure with large particle solids removed</t>
  </si>
  <si>
    <t>2011-07-01 and 2011-07-07 and 2011-08-01 and 2011-08-09 and 2011-08-16 and 2011-09-01 and 2011-09-07</t>
  </si>
  <si>
    <t>10w (3d)</t>
  </si>
  <si>
    <t>Solid (Large particule) separation</t>
  </si>
  <si>
    <t>Surf-(ADWOSM) anaerobically digested manure effluent with large particle solids removed and MTM™ added</t>
  </si>
  <si>
    <r>
      <t>Anaerobical digestion + Large particle separation + MTM</t>
    </r>
    <r>
      <rPr>
        <vertAlign val="superscript"/>
        <sz val="11"/>
        <color theme="1"/>
        <rFont val="Aptos Narrow"/>
        <family val="2"/>
        <scheme val="minor"/>
      </rPr>
      <t>(TM)</t>
    </r>
  </si>
  <si>
    <t>Surf-(ADWS) anaerobically digested manure effluent with large particle solids</t>
  </si>
  <si>
    <t>Anaerobical digestion</t>
  </si>
  <si>
    <t>Surf-(NADWOSM) raw liquid manure with large particle solids removed and MTM™ added</t>
  </si>
  <si>
    <t>Solid (Large particule) separation +  MTM™</t>
  </si>
  <si>
    <t>2012-06-14 and 2012-06-20 and 2012-06-27 and 2012-07-09 and 2012-07-24 and 2012-07-30 and 2012-08-06 and 2012-08-14 and 2012-08-20 and 2012-08-27</t>
  </si>
  <si>
    <t>12w (3d)</t>
  </si>
  <si>
    <t>GasAlert® System + Photoacoustic multi-gas analyzer (INNOVA model 1412, INNOVA AirTech Instruments A/S Denmark)</t>
  </si>
  <si>
    <t>DM = % ; TAN = mg AN /kg ; Napp_rate = kg AN /ha</t>
  </si>
  <si>
    <t xml:space="preserve">ten Huf, M., Reinsch, T., Zutz, M., Essich, C., Ruser, R., Buchen-Tschiskale, C., Flessa, H., &amp; Olfs, H.-W. (2023). Effects of Liquid Manure Application Techniques on Ammonia Emission and Winter Wheat Yield. Agronomy, 13(2), 472. https://www.mdpi.com/2073-4395/13/2/472 </t>
  </si>
  <si>
    <t>ten Huf et al., 2023</t>
  </si>
  <si>
    <t>Winter Wheat (WW)</t>
  </si>
  <si>
    <t>Bwa</t>
  </si>
  <si>
    <t>Calcaric Regosol (2% sand , 64% silt , 34% clay)</t>
  </si>
  <si>
    <t>Bwb</t>
  </si>
  <si>
    <t>Haplic Luvisol (2% sand , 71% silt , 27% clay)</t>
  </si>
  <si>
    <t>Plaggic Anthrosol (69% sand , 20% silt , 12% clay)</t>
  </si>
  <si>
    <t>Plaggic Anthrosol (41% sand , 51% silt , 8% clay)</t>
  </si>
  <si>
    <t>LSa</t>
  </si>
  <si>
    <t>LSb</t>
  </si>
  <si>
    <t>SHa</t>
  </si>
  <si>
    <t>SHb</t>
  </si>
  <si>
    <t>Luvisol (64% sand , 25% silt , 10% clay)</t>
  </si>
  <si>
    <t>Luvisol (56% sand , 33% silt , 11% clay)</t>
  </si>
  <si>
    <t>SHc</t>
  </si>
  <si>
    <t>Luvisol (65% sand , 24% silt , 11% clay)</t>
  </si>
  <si>
    <t>SHd</t>
  </si>
  <si>
    <t>Luvisol (76% sand , 16% silt , 7% clay)</t>
  </si>
  <si>
    <t>Cattle Slurry (CS)</t>
  </si>
  <si>
    <t>Biogas digestate(BD)</t>
  </si>
  <si>
    <t>Trailing hose (CS:TH)</t>
  </si>
  <si>
    <t>Trailing hose (CS:TH+A)</t>
  </si>
  <si>
    <t>Acidified (pH ~6.0) cattle slurry</t>
  </si>
  <si>
    <t>(CS:SI/TS) Slot injection (app. 1)+Trailing shoe (app. 2)</t>
  </si>
  <si>
    <t>(CS:SI+NI/TS) Slot injection (app. 1)+Trailing shoe (app. 2)</t>
  </si>
  <si>
    <t>Cattle slurry + NI (app. 1) Cattle slurry (app. 2)</t>
  </si>
  <si>
    <t>Trailing hose (BD:TH)</t>
  </si>
  <si>
    <t>Trailing hose (BD:TH+A)</t>
  </si>
  <si>
    <t>(BD:SI/TS) Slot injection (app. 1)+Trailing shoe (app. 2)</t>
  </si>
  <si>
    <t>(BD:SI+NI/TS) Slot injection (app. 1)+Trailing shoe (app. 2)</t>
  </si>
  <si>
    <t>Acidified (pH ~ 6.0) biogas digestate</t>
  </si>
  <si>
    <t>Biogas digestate + NI (app. 1)+Biogas digestate (app. 2)</t>
  </si>
  <si>
    <t>April 2019</t>
  </si>
  <si>
    <t>April 2020</t>
  </si>
  <si>
    <t>Dynamic Tube Method (DTM) + by passive samplers (PS)</t>
  </si>
  <si>
    <t>DM = % ; Napp_rate = kg TN/ha ; cum.ref.TAN = cum.treat.TAN = %;  cum.ref.mass = cum.treat.mass = kg NH3-N /ha</t>
  </si>
  <si>
    <t>Wang et al., 2024</t>
  </si>
  <si>
    <t>Wang, S., Wang, W., Cui, Y., Bai, Y., Liu, C., Liao, W., &amp; Gao, Z. (2024). Impacts of Liquid Fractions from Two Solid–Liquid Separation Technologies on the Soil Porosity, Ammonia, and Greenhouse Gas Emissions. Agronomy, 14(1). DOI: 10.3390/agronomy14010186</t>
  </si>
  <si>
    <t>Liquid Separation LF (MS) &gt; Liquid Fraction</t>
  </si>
  <si>
    <t>Liquid Separation + Tannic acid &gt; LF (MS + Ta)</t>
  </si>
  <si>
    <t>2w</t>
  </si>
  <si>
    <t>Dynamic Chamber</t>
  </si>
  <si>
    <t>TAN = g/kg ; Napp_rate = kg N /ha ;  cum.ref.mass = cum.treat.mass = mg/m2</t>
  </si>
  <si>
    <t>Yagüe et al., 2019</t>
  </si>
  <si>
    <t xml:space="preserve">Yagüe, M. R., Valdez, A. S., Bosch-Serra, À. D., Ortiz, C., &amp; Castellví, F. (2019). A Short-term Study to Compare Field Strategies for Ammonia Emission Mitigation. Journal of Environmental Quality, 48(1), 179-184. https://doi.org/https://doi.org/10.2134/jeq2018.05.0218 </t>
  </si>
  <si>
    <t>Winter barley crop (Hordeum vulgare L.)</t>
  </si>
  <si>
    <t>Xeric Torriorthent &gt; clay loam texture</t>
  </si>
  <si>
    <t>Semiarid Mediterranean</t>
  </si>
  <si>
    <t>Splash Plate (SP)</t>
  </si>
  <si>
    <t>Trailing Hose (TH)</t>
  </si>
  <si>
    <t>Semi-open Static Chamber</t>
  </si>
  <si>
    <t>315,5h</t>
  </si>
  <si>
    <t>287h</t>
  </si>
  <si>
    <t>FOAM I : 2015-12-01 :Before Sowing</t>
  </si>
  <si>
    <t>FOAM I : 2016-03-14 :Cereal Tillering</t>
  </si>
  <si>
    <t>November 2020</t>
  </si>
  <si>
    <t>DM = % ; TAN = g/kg ; app_rate = tonne/ha; Napp_rate = kg TN /ha ; cum.treat.TAN = cum.ref.TAN = % ; cum.treat.mass = cum.ref.mass = kg/ha</t>
  </si>
  <si>
    <t>DM = % ; app_rate = Mg/ha ; Napp_rate = kg TN/ha  ; cum.ref.mass = cum.treat.mass = kg NH3-N / ha</t>
  </si>
  <si>
    <t>DM = % ; TAN = kg TAN/ha ; app_rate = tonne/ha; Napp_rate = kg TN /ha ; cum.ref.TAN = cum.treat.TAN = % ; cum.ref.mass = cum.treat.mass = kg/ha</t>
  </si>
  <si>
    <t>DM = % ; TAN = g/L ; app_rate = tonne/ha ; Napp_rate = kg/ha ; cum.treat.TAN = cum.ref.TAN = % ; cum.treat.mass = cum.ref.mass = NH4-N app rate * %TAN loss *10(conversion to kg/ha) =  kg/ha</t>
  </si>
  <si>
    <r>
      <t>DM = % ; TAN = g/L ; app_rate = kg/m2; Napp_rate = kg TN/ha</t>
    </r>
    <r>
      <rPr>
        <sz val="11"/>
        <color rgb="FFFF0000"/>
        <rFont val="Aptos Narrow"/>
        <family val="2"/>
        <scheme val="minor"/>
      </rPr>
      <t xml:space="preserve"> (g TN/m2)</t>
    </r>
    <r>
      <rPr>
        <sz val="11"/>
        <color theme="1"/>
        <rFont val="Aptos Narrow"/>
        <family val="2"/>
        <scheme val="minor"/>
      </rPr>
      <t xml:space="preserve">  ; cum.ref.TAN = cum.treat.TAN = fraction ; cum.treat.mass = cum.ref.mass = NH4-N app rate * %TAN loss *10(conversion to kg/ha) = kg/ha</t>
    </r>
  </si>
  <si>
    <t>Control : None (Untreated manure)</t>
  </si>
  <si>
    <t>Warm summer humid-continental and humid subtropical (Dfb+Dfa+Cfb+Cfa)</t>
  </si>
  <si>
    <t>Temperate continental Dfb</t>
  </si>
  <si>
    <t>Hot summer Mediterranean climate : Csa</t>
  </si>
  <si>
    <t>Continental Subartic or boreal climate Dfc</t>
  </si>
  <si>
    <t>Mediterranean Csa</t>
  </si>
  <si>
    <t>Humid continental climate Dfb</t>
  </si>
  <si>
    <t>Humid subtropical climate Cfa</t>
  </si>
  <si>
    <t>Temperate</t>
  </si>
  <si>
    <t>Warm temperate humid climate Cfb</t>
  </si>
  <si>
    <t>Temperate + humid continental or oceanic climate Dfb +Cfb</t>
  </si>
  <si>
    <t>Warm-summer humid continental Dfb + hot-summer humid continental Dfa</t>
  </si>
  <si>
    <t>Humid continental climate (Dfb+ Dfa +Cfa+Cfb)</t>
  </si>
  <si>
    <t>Moderate sea climate Cfb</t>
  </si>
  <si>
    <t>coarse</t>
  </si>
  <si>
    <t>moderate</t>
  </si>
  <si>
    <t>fine</t>
  </si>
  <si>
    <t>?</t>
  </si>
  <si>
    <t>maize</t>
  </si>
  <si>
    <t>cereal</t>
  </si>
  <si>
    <t>pasture</t>
  </si>
  <si>
    <t>oilseed</t>
  </si>
  <si>
    <t>man.type.broad</t>
  </si>
  <si>
    <t>Pig manure</t>
  </si>
  <si>
    <t>green manure</t>
  </si>
  <si>
    <t>Pig digestate</t>
  </si>
  <si>
    <t>Cattle digestate</t>
  </si>
  <si>
    <t>Cattle and pig manure</t>
  </si>
  <si>
    <t>Digestate</t>
  </si>
  <si>
    <t>Wind tunnels</t>
  </si>
  <si>
    <t xml:space="preserve">Dynamic chamber system + Photo-acoustic trace gas analyzer </t>
  </si>
  <si>
    <t>Dräger Tube Method</t>
  </si>
  <si>
    <t>Dynamic chamber</t>
  </si>
  <si>
    <t>Semi-static chambers</t>
  </si>
  <si>
    <t>meas.meth.orig</t>
  </si>
  <si>
    <t xml:space="preserve">Integrated Horizontal Flux </t>
  </si>
  <si>
    <t>Integrated Horizontal Flux</t>
  </si>
  <si>
    <t>app.treat.general</t>
  </si>
  <si>
    <t>Acid</t>
  </si>
  <si>
    <t>red.2</t>
  </si>
  <si>
    <t>inhibitors</t>
  </si>
  <si>
    <t>10 kg  ha-1</t>
  </si>
  <si>
    <t>So, I converted to a percent reduction using surface application as the reference.</t>
  </si>
  <si>
    <t xml:space="preserve">surface broadcast </t>
  </si>
  <si>
    <t>app.date.2</t>
  </si>
  <si>
    <t>Dilution</t>
  </si>
  <si>
    <t>plastic mulching</t>
  </si>
  <si>
    <t>Not sure where to put this. They added the fertilizer (synthetic and organic) and then covered the soil with a black polyethylene film). Does that count as an application technique or an additive?</t>
  </si>
  <si>
    <t>n/a</t>
  </si>
  <si>
    <t>Note that these are average concentrations and not actual losses. But a good proxy nonetheless</t>
  </si>
  <si>
    <t>broadcast / incorporation</t>
  </si>
  <si>
    <t>Banded / aeration</t>
  </si>
  <si>
    <t>Soil surface (liquid fraction)</t>
  </si>
  <si>
    <t>Liquid fraction.</t>
  </si>
  <si>
    <t xml:space="preserve">Acidified Liquid Fraction </t>
  </si>
  <si>
    <t>liquid fraction.</t>
  </si>
  <si>
    <t>liquid fraction + acid</t>
  </si>
  <si>
    <t>broadcast</t>
  </si>
  <si>
    <t>acid</t>
  </si>
  <si>
    <t>pyrolysis liquid</t>
  </si>
  <si>
    <t>banded.</t>
  </si>
  <si>
    <t>compost</t>
  </si>
  <si>
    <t>compost + Zeolite</t>
  </si>
  <si>
    <t>compost + Zeolite + superphosphate</t>
  </si>
  <si>
    <t>compost + superphosphate</t>
  </si>
  <si>
    <t>Zhilong He, Ying Zhang, Xuejun Liu, Wen Xu, Yong Hou, Hongliang Wang, Fusuo Zhang, Ammonia mitigation potential in an optimized crop-layer production system,
Science of The Total Environment, Volume 841, 2022, doi.org/10.1016/j.scitotenv.2022.156701</t>
  </si>
  <si>
    <t>He et al., 2022</t>
  </si>
  <si>
    <t>injection</t>
  </si>
  <si>
    <t>urease inhibitor</t>
  </si>
  <si>
    <t>dual inhibitor</t>
  </si>
  <si>
    <t>banding</t>
  </si>
  <si>
    <t>nitrification inhibitor</t>
  </si>
  <si>
    <t>denitrification inhibitor</t>
  </si>
  <si>
    <t>dual inhibitors</t>
  </si>
  <si>
    <t>Trailing shoe</t>
  </si>
  <si>
    <t>Biobuster</t>
  </si>
  <si>
    <t>JASS</t>
  </si>
  <si>
    <t>liquid fraction</t>
  </si>
  <si>
    <t>solid fraction</t>
  </si>
  <si>
    <t>sub-surface banding</t>
  </si>
  <si>
    <t>broadcast / aeration</t>
  </si>
  <si>
    <t>zeolite</t>
  </si>
  <si>
    <t>lava meal</t>
  </si>
  <si>
    <t>topsoil</t>
  </si>
  <si>
    <t>These are an average for the two years</t>
  </si>
  <si>
    <t>irrigation</t>
  </si>
  <si>
    <t>stubble coverage</t>
  </si>
  <si>
    <t>digestion / separation</t>
  </si>
  <si>
    <t>separation</t>
  </si>
  <si>
    <t>digestion / separation +MTM</t>
  </si>
  <si>
    <t xml:space="preserve">digestion </t>
  </si>
  <si>
    <t>separation + MTM</t>
  </si>
  <si>
    <t>I am just using their average NH3 concentration. They do not report total losses.</t>
  </si>
  <si>
    <t>Digested / acid</t>
  </si>
  <si>
    <t>Digested + inhibitor</t>
  </si>
  <si>
    <t>separation + flocculant</t>
  </si>
  <si>
    <t>2015-12-01 :Before Sowing</t>
  </si>
  <si>
    <t>2016-03-14 :Cereal Tillering</t>
  </si>
  <si>
    <t>(CANMAN) Calcium ammonium nitrate + Dairy manure</t>
  </si>
  <si>
    <t>app.ref2</t>
  </si>
  <si>
    <t>surface broadcast</t>
  </si>
  <si>
    <t>incorporated</t>
  </si>
  <si>
    <t>manure DM content seems high to be liquid. But they do say that it is from a "storage tank". So, I would assume it is liquid.</t>
  </si>
  <si>
    <t>Sand</t>
  </si>
  <si>
    <t>clay</t>
  </si>
  <si>
    <t>texture.class</t>
  </si>
  <si>
    <t>soil.texture</t>
  </si>
  <si>
    <t>study.details</t>
  </si>
  <si>
    <t>study.num</t>
  </si>
  <si>
    <t>crop.type</t>
  </si>
  <si>
    <t>app.rate</t>
  </si>
  <si>
    <t>Napp.rate</t>
  </si>
  <si>
    <t>additive.class</t>
  </si>
  <si>
    <t>additive.conc</t>
  </si>
  <si>
    <t>DP.notes</t>
  </si>
  <si>
    <t>Pedersen et al. 2021</t>
  </si>
  <si>
    <t>Pedersen, J., T. Nyord, A. Feilberg, R. Labouriau, D. Hunt, S. Bittman. Effect of reduced exposed surface area and enhanced infiltration on ammonia emission from untreated and separated cattle slurry. doi.org/10.1016/j.biosystemseng.2021.09.003</t>
  </si>
  <si>
    <t>Canada (Agassiz)</t>
  </si>
  <si>
    <t>Temperate Oceanic</t>
  </si>
  <si>
    <t>Kentucky bluegrass</t>
  </si>
  <si>
    <t>wind tunnels</t>
  </si>
  <si>
    <t>Separation</t>
  </si>
  <si>
    <t>Narrow bands</t>
  </si>
  <si>
    <t>wide bands</t>
  </si>
  <si>
    <t>SSD</t>
  </si>
  <si>
    <t>Wagner et al. 2021</t>
  </si>
  <si>
    <t>Wagner, C., T. Nyord, A.V. Vestergaard, S.D. Hafner, A.S. Pacholski. 2021. Acidification effects on in situ ammonia emissions and cereal yields depending on slurry type and application method. doi.org/10.3390/agriculture11111053</t>
  </si>
  <si>
    <t>Barley</t>
  </si>
  <si>
    <t>Incorporation</t>
  </si>
  <si>
    <t>Band / incorporation</t>
  </si>
  <si>
    <t>Acidified</t>
  </si>
  <si>
    <t>trail hose</t>
  </si>
  <si>
    <t>acidified</t>
  </si>
  <si>
    <t>Anaerobic digestate</t>
  </si>
  <si>
    <t>Wagner et al. 2022</t>
  </si>
  <si>
    <t>Wagner, C., T. Nyord, A.V. Vestergaard, S.D. Hafner, A.S. Pacholski. 2021. Acidification effects on in situ ammonia emissions and cereal yields depending on slurry type and application method. doi.org/10.3390/agriculture11111054</t>
  </si>
  <si>
    <t>Mink slurry</t>
  </si>
  <si>
    <t>other slurry</t>
  </si>
  <si>
    <t>Wagner et al. 2023</t>
  </si>
  <si>
    <t>Wagner, C., T. Nyord, A.V. Vestergaard, S.D. Hafner, A.S. Pacholski. 2021. Acidification effects on in situ ammonia emissions and cereal yields depending on slurry type and application method. doi.org/10.3390/agriculture11111055</t>
  </si>
  <si>
    <t>pig slurry</t>
  </si>
  <si>
    <t>Wagner et al. 2024</t>
  </si>
  <si>
    <t>Wagner, C., T. Nyord, A.V. Vestergaard, S.D. Hafner, A.S. Pacholski. 2021. Acidification effects on in situ ammonia emissions and cereal yields depending on slurry type and application method. doi.org/10.3390/agriculture11111056</t>
  </si>
  <si>
    <t>liquid phase digestate</t>
  </si>
  <si>
    <t>digested / separated / acid</t>
  </si>
  <si>
    <t>Seidel et al., 2017</t>
  </si>
  <si>
    <t>Seidel, A., A. Pacholski,T. Nyord, A. Vestergaard, I. Pahlmann, A. Herrmann, H. Kage. 2017. Effects of acidification and injection of pasture applied cattle slurry on ammonia losses, N2O emissions and crop N uptake. doi.org/10.1016/j.agee.2017.05.030</t>
  </si>
  <si>
    <t>grassland</t>
  </si>
  <si>
    <t>Injection (shallow)</t>
  </si>
  <si>
    <t>Injection (deep)</t>
  </si>
  <si>
    <t>acidified (light)</t>
  </si>
  <si>
    <t>acidified (heavy)</t>
  </si>
  <si>
    <t>Kai et al., 2008</t>
  </si>
  <si>
    <t>Kai, P., P. Pedersen, J.E. Jensen, M.N. Hansen, S.G. Sommer. 2008. A whole-farm assessment of the efficacy of slurry acidification in reducing ammonia emissions. doi:10.1016/j.eja.2007.06.004</t>
  </si>
  <si>
    <t>wheat</t>
  </si>
  <si>
    <t>liquid</t>
  </si>
  <si>
    <t xml:space="preserve">Leunig </t>
  </si>
  <si>
    <t>Andersson et al. 2023</t>
  </si>
  <si>
    <t>Andersson, K., S. Delin, J. Pedersen, S.D. Hafner, T. Nyord. 2023. Ammonia emissions from untreated, separated and digested cattle slurry - Effects of slurry type and application strategy on a Swedish clay soil. doi.org/10.1016/j.biosystemseng.2023.01.012</t>
  </si>
  <si>
    <t>temperate humid</t>
  </si>
  <si>
    <t>Lanna field research station in south-west Sweden</t>
  </si>
  <si>
    <t>grass ley</t>
  </si>
  <si>
    <t xml:space="preserve">Separated Dairy Slurry  </t>
  </si>
  <si>
    <t>trailing hose</t>
  </si>
  <si>
    <t>trailing shoe</t>
  </si>
  <si>
    <t>digested</t>
  </si>
  <si>
    <t>spring barley</t>
  </si>
  <si>
    <t>Separated Cattle slurry</t>
  </si>
  <si>
    <t>closed slot injection</t>
  </si>
  <si>
    <t>open slot injection</t>
  </si>
  <si>
    <t>open slot injection and trailing shoe</t>
  </si>
  <si>
    <t>Bhandral et al., 2009</t>
  </si>
  <si>
    <t>Bittmann et al., 2005</t>
  </si>
  <si>
    <t xml:space="preserve">Bittman, S., van Vliet, L. J. P., Kowalenko, C. G., McGinn, S., Hunt, D. E., &amp; Bounaix, F. (2005). Surface‐Banding Liquid Manure over Aeration Slots: A New Low‐Disturbance Method for Reducing Ammonia Emissions and Improving Yield of Perennial Grasses. Agronomy Journal, 97(5), 1304-1313. https://doi.org/10.2134/agronj2004.0277 </t>
  </si>
  <si>
    <t xml:space="preserve">Bhandral, R., Bittman, S., Kowalenko, G., Buckley, K., Chantigny, M. H., Hunt, D. E., Bounaix, F., &amp; Friesen, A. (2009). Enhancing soil infiltration reduces gaseous emissions and improves N uptake from applied dairy slurry. Journal of Environmental Quality, 38(4), 1372-1382. https://doi.org/10.2134/jeq2008.0287 </t>
  </si>
  <si>
    <t>Canada</t>
  </si>
  <si>
    <t>Bhandral, R., Bittman, S., Kowalenko, G., Buckley, K., Chantigny, M. H., Hunt, D. E., Bounaix, F., &amp; Friesen, A. (2009). Enhancing soil infiltration reduces gaseous emissions and improves N uptake from applied dairy slurry. Journal of Environmental Quality, 38(4), 1372-1382. https://doi.org/10.2134/jeq2008.0288</t>
  </si>
  <si>
    <t>Bhandral, R., Bittman, S., Kowalenko, G., Buckley, K., Chantigny, M. H., Hunt, D. E., Bounaix, F., &amp; Friesen, A. (2009). Enhancing soil infiltration reduces gaseous emissions and improves N uptake from applied dairy slurry. Journal of Environmental Quality, 38(4), 1372-1382. https://doi.org/10.2134/jeq2008.0289</t>
  </si>
  <si>
    <t>Bhandral, R., Bittman, S., Kowalenko, G., Buckley, K., Chantigny, M. H., Hunt, D. E., Bounaix, F., &amp; Friesen, A. (2009). Enhancing soil infiltration reduces gaseous emissions and improves N uptake from applied dairy slurry. Journal of Environmental Quality, 38(4), 1372-1382. https://doi.org/10.2134/jeq2008.0290</t>
  </si>
  <si>
    <t>Bhandral, R., Bittman, S., Kowalenko, G., Buckley, K., Chantigny, M. H., Hunt, D. E., Bounaix, F., &amp; Friesen, A. (2009). Enhancing soil infiltration reduces gaseous emissions and improves N uptake from applied dairy slurry. Journal of Environmental Quality, 38(4), 1372-1382. https://doi.org/10.2134/jeq2008.0291</t>
  </si>
  <si>
    <t>Bhandral, R., Bittman, S., Kowalenko, G., Buckley, K., Chantigny, M. H., Hunt, D. E., Bounaix, F., &amp; Friesen, A. (2009). Enhancing soil infiltration reduces gaseous emissions and improves N uptake from applied dairy slurry. Journal of Environmental Quality, 38(4), 1372-1382. https://doi.org/10.2134/jeq2008.0292</t>
  </si>
  <si>
    <t>Bhandral, R., Bittman, S., Kowalenko, G., Buckley, K., Chantigny, M. H., Hunt, D. E., Bounaix, F., &amp; Friesen, A. (2009). Enhancing soil infiltration reduces gaseous emissions and improves N uptake from applied dairy slurry. Journal of Environmental Quality, 38(4), 1372-1382. https://doi.org/10.2134/jeq2008.0293</t>
  </si>
  <si>
    <t>Bhandral, R., Bittman, S., Kowalenko, G., Buckley, K., Chantigny, M. H., Hunt, D. E., Bounaix, F., &amp; Friesen, A. (2009). Enhancing soil infiltration reduces gaseous emissions and improves N uptake from applied dairy slurry. Journal of Environmental Quality, 38(4), 1372-1382. https://doi.org/10.2134/jeq2008.0294</t>
  </si>
  <si>
    <t>Bhandral, R., Bittman, S., Kowalenko, G., Buckley, K., Chantigny, M. H., Hunt, D. E., Bounaix, F., &amp; Friesen, A. (2009). Enhancing soil infiltration reduces gaseous emissions and improves N uptake from applied dairy slurry. Journal of Environmental Quality, 38(4), 1372-1382. https://doi.org/10.2134/jeq2008.0295</t>
  </si>
  <si>
    <t>Bhandral, R., Bittman, S., Kowalenko, G., Buckley, K., Chantigny, M. H., Hunt, D. E., Bounaix, F., &amp; Friesen, A. (2009). Enhancing soil infiltration reduces gaseous emissions and improves N uptake from applied dairy slurry. Journal of Environmental Quality, 38(4), 1372-1382. https://doi.org/10.2134/jeq2008.0296</t>
  </si>
  <si>
    <t>Bhandral, R., Bittman, S., Kowalenko, G., Buckley, K., Chantigny, M. H., Hunt, D. E., Bounaix, F., &amp; Friesen, A. (2009). Enhancing soil infiltration reduces gaseous emissions and improves N uptake from applied dairy slurry. Journal of Environmental Quality, 38(4), 1372-1382. https://doi.org/10.2134/jeq2008.0297</t>
  </si>
  <si>
    <t>Bhandral, R., Bittman, S., Kowalenko, G., Buckley, K., Chantigny, M. H., Hunt, D. E., Bounaix, F., &amp; Friesen, A. (2009). Enhancing soil infiltration reduces gaseous emissions and improves N uptake from applied dairy slurry. Journal of Environmental Quality, 38(4), 1372-1382. https://doi.org/10.2134/jeq2008.0298</t>
  </si>
  <si>
    <t>The micro met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</si>
</sst>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2"/>
      <color theme="1"/>
      <name val="Aptos Narrow"/>
      <family val="2"/>
      <scheme val="minor"/>
    </font>
    <font>
      <vertAlign val="superscript"/>
      <sz val="11"/>
      <color theme="1"/>
      <name val="Aptos Narrow"/>
      <family val="2"/>
      <scheme val="minor"/>
    </font>
    <font>
      <vertAlign val="subscript"/>
      <sz val="11"/>
      <color theme="1"/>
      <name val="Aptos Narrow"/>
      <family val="2"/>
      <scheme val="minor"/>
    </font>
    <font>
      <sz val="11"/>
      <color rgb="FFFF0000"/>
      <name val="Aptos Narrow"/>
      <family val="2"/>
      <scheme val="minor"/>
    </font>
    <font>
      <sz val="11"/>
      <color theme="4" tint="-0.499984740745262"/>
      <name val="Aptos Narrow"/>
      <family val="2"/>
      <scheme val="minor"/>
    </font>
    <font>
      <sz val="11"/>
      <name val="Aptos Narrow"/>
      <family val="2"/>
      <scheme val="minor"/>
    </font>
    <font>
      <sz val="8"/>
      <name val="Aptos Narrow"/>
      <family val="2"/>
      <scheme val="minor"/>
    </font>
  </fonts>
  <fills count="12">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bottom style="double">
        <color auto="1"/>
      </bottom>
      <diagonal/>
    </border>
    <border>
      <left/>
      <right/>
      <top/>
      <bottom style="dotted">
        <color indexed="64"/>
      </bottom>
      <diagonal/>
    </border>
    <border>
      <left/>
      <right/>
      <top style="double">
        <color auto="1"/>
      </top>
      <bottom/>
      <diagonal/>
    </border>
  </borders>
  <cellStyleXfs count="1">
    <xf numFmtId="0" fontId="0" fillId="0" borderId="0"/>
  </cellStyleXfs>
  <cellXfs count="61">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4" borderId="0" xfId="0" applyFill="1" applyAlignment="1">
      <alignment horizontal="left" vertical="center"/>
    </xf>
    <xf numFmtId="0" fontId="1" fillId="2" borderId="0" xfId="0" applyFont="1" applyFill="1" applyAlignment="1">
      <alignment horizontal="left" vertical="center"/>
    </xf>
    <xf numFmtId="14" fontId="0" fillId="0" borderId="0" xfId="0" applyNumberFormat="1" applyAlignment="1">
      <alignment horizontal="left" vertical="center"/>
    </xf>
    <xf numFmtId="14" fontId="1" fillId="2" borderId="0" xfId="0" applyNumberFormat="1" applyFont="1" applyFill="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14" fontId="0" fillId="0" borderId="2" xfId="0" applyNumberFormat="1" applyBorder="1" applyAlignment="1">
      <alignment horizontal="left" vertical="center"/>
    </xf>
    <xf numFmtId="0" fontId="0" fillId="5" borderId="0" xfId="0" applyFill="1" applyAlignment="1">
      <alignment horizontal="left" vertical="center"/>
    </xf>
    <xf numFmtId="0" fontId="0" fillId="0" borderId="2" xfId="0" applyBorder="1" applyAlignment="1">
      <alignment horizontal="left" vertical="center" wrapText="1"/>
    </xf>
    <xf numFmtId="0" fontId="0" fillId="5" borderId="2" xfId="0" applyFill="1" applyBorder="1" applyAlignment="1">
      <alignment horizontal="left" vertical="center"/>
    </xf>
    <xf numFmtId="0" fontId="1" fillId="2" borderId="0" xfId="0" applyFont="1" applyFill="1" applyAlignment="1">
      <alignment horizontal="left" vertical="center" wrapText="1"/>
    </xf>
    <xf numFmtId="0" fontId="0" fillId="5" borderId="0" xfId="0" applyFill="1" applyAlignment="1">
      <alignment horizontal="left" vertical="center" wrapText="1"/>
    </xf>
    <xf numFmtId="14" fontId="0" fillId="0" borderId="0" xfId="0" applyNumberFormat="1" applyAlignment="1">
      <alignment horizontal="left" vertical="center" wrapText="1"/>
    </xf>
    <xf numFmtId="0" fontId="0" fillId="3" borderId="0" xfId="0" applyFill="1" applyAlignment="1">
      <alignment horizontal="left" vertical="center" wrapText="1"/>
    </xf>
    <xf numFmtId="14" fontId="0" fillId="0" borderId="2" xfId="0" applyNumberFormat="1" applyBorder="1" applyAlignment="1">
      <alignment horizontal="left" vertical="center" wrapText="1"/>
    </xf>
    <xf numFmtId="9" fontId="0" fillId="0" borderId="0" xfId="0" applyNumberFormat="1" applyAlignment="1">
      <alignment horizontal="left" vertical="center" wrapText="1"/>
    </xf>
    <xf numFmtId="0" fontId="0" fillId="3" borderId="2" xfId="0" applyFill="1" applyBorder="1" applyAlignment="1">
      <alignment horizontal="left" vertical="center" wrapText="1"/>
    </xf>
    <xf numFmtId="0" fontId="0" fillId="4" borderId="2" xfId="0" applyFill="1" applyBorder="1" applyAlignment="1">
      <alignment horizontal="left" vertical="center"/>
    </xf>
    <xf numFmtId="0" fontId="0" fillId="4" borderId="2" xfId="0" applyFill="1"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center" wrapText="1"/>
    </xf>
    <xf numFmtId="14" fontId="0" fillId="0" borderId="3" xfId="0" applyNumberFormat="1" applyBorder="1" applyAlignment="1">
      <alignment horizontal="left" vertical="center"/>
    </xf>
    <xf numFmtId="0" fontId="0" fillId="0" borderId="4" xfId="0" applyBorder="1" applyAlignment="1">
      <alignment horizontal="left" vertical="center" wrapText="1"/>
    </xf>
    <xf numFmtId="0" fontId="0" fillId="7" borderId="0" xfId="0" applyFill="1" applyAlignment="1">
      <alignment horizontal="left" vertical="center"/>
    </xf>
    <xf numFmtId="0" fontId="0" fillId="7" borderId="2" xfId="0" applyFill="1" applyBorder="1" applyAlignment="1">
      <alignment horizontal="left" vertical="center"/>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5" fillId="6" borderId="0" xfId="0" applyFont="1" applyFill="1" applyAlignment="1">
      <alignment horizontal="left" vertical="center"/>
    </xf>
    <xf numFmtId="0" fontId="5" fillId="6" borderId="2" xfId="0" applyFont="1" applyFill="1" applyBorder="1" applyAlignment="1">
      <alignment horizontal="left" vertical="center"/>
    </xf>
    <xf numFmtId="0" fontId="6" fillId="8" borderId="0" xfId="0" applyFont="1" applyFill="1" applyAlignment="1">
      <alignment horizontal="left" vertical="center"/>
    </xf>
    <xf numFmtId="0" fontId="0" fillId="8" borderId="0" xfId="0" applyFill="1" applyAlignment="1">
      <alignment horizontal="left" vertical="center"/>
    </xf>
    <xf numFmtId="0" fontId="0" fillId="9" borderId="0" xfId="0" applyFill="1" applyAlignment="1">
      <alignment horizontal="left" vertical="center"/>
    </xf>
    <xf numFmtId="0" fontId="0" fillId="8" borderId="2" xfId="0" applyFill="1" applyBorder="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0" fillId="10" borderId="0" xfId="0" applyFill="1" applyAlignment="1">
      <alignment horizontal="left" vertical="center"/>
    </xf>
    <xf numFmtId="0" fontId="0" fillId="10" borderId="2" xfId="0" applyFill="1" applyBorder="1" applyAlignment="1">
      <alignment horizontal="left" vertical="center"/>
    </xf>
    <xf numFmtId="14" fontId="4" fillId="0" borderId="0" xfId="0" applyNumberFormat="1" applyFont="1" applyAlignment="1">
      <alignment horizontal="left" vertical="center"/>
    </xf>
    <xf numFmtId="14" fontId="4" fillId="0" borderId="2" xfId="0" applyNumberFormat="1" applyFont="1" applyBorder="1" applyAlignment="1">
      <alignment horizontal="left" vertical="center"/>
    </xf>
    <xf numFmtId="0" fontId="4" fillId="0" borderId="4" xfId="0" applyFont="1" applyBorder="1" applyAlignment="1">
      <alignment horizontal="left" vertical="center" wrapText="1"/>
    </xf>
    <xf numFmtId="0" fontId="0" fillId="6" borderId="0" xfId="0" applyFill="1" applyAlignment="1">
      <alignment horizontal="left" vertical="center"/>
    </xf>
    <xf numFmtId="0" fontId="0" fillId="6" borderId="2" xfId="0" applyFill="1" applyBorder="1" applyAlignment="1">
      <alignment horizontal="left" vertical="center"/>
    </xf>
    <xf numFmtId="164" fontId="0" fillId="0" borderId="0" xfId="0" applyNumberFormat="1" applyAlignment="1">
      <alignment horizontal="left" vertical="center" wrapText="1"/>
    </xf>
    <xf numFmtId="0" fontId="0" fillId="11" borderId="0" xfId="0" applyFill="1" applyAlignment="1">
      <alignment horizontal="left" vertical="center" wrapText="1"/>
    </xf>
    <xf numFmtId="0" fontId="0" fillId="7" borderId="0" xfId="0" applyFill="1" applyAlignment="1">
      <alignment horizontal="left" vertical="center" wrapText="1"/>
    </xf>
    <xf numFmtId="0" fontId="1" fillId="7" borderId="0" xfId="0" applyFont="1" applyFill="1" applyAlignment="1">
      <alignment horizontal="left" vertical="center" wrapText="1"/>
    </xf>
    <xf numFmtId="0" fontId="0" fillId="7" borderId="2" xfId="0" applyFill="1" applyBorder="1" applyAlignment="1">
      <alignment horizontal="left" vertical="center" wrapText="1"/>
    </xf>
    <xf numFmtId="0" fontId="1" fillId="7" borderId="0" xfId="0" applyFont="1" applyFill="1" applyAlignment="1">
      <alignment horizontal="left" vertical="center"/>
    </xf>
    <xf numFmtId="0" fontId="0" fillId="7" borderId="3" xfId="0" applyFill="1" applyBorder="1" applyAlignment="1">
      <alignment horizontal="left" vertical="center"/>
    </xf>
    <xf numFmtId="10" fontId="0" fillId="7" borderId="0" xfId="0" applyNumberFormat="1" applyFill="1" applyAlignment="1">
      <alignment horizontal="left" vertical="center"/>
    </xf>
    <xf numFmtId="0" fontId="4" fillId="7" borderId="0" xfId="0" applyFont="1" applyFill="1" applyAlignment="1">
      <alignment horizontal="left" vertical="center"/>
    </xf>
    <xf numFmtId="0" fontId="0" fillId="7" borderId="3" xfId="0" applyFill="1" applyBorder="1" applyAlignment="1">
      <alignment horizontal="left" vertical="center" wrapText="1"/>
    </xf>
    <xf numFmtId="0" fontId="4" fillId="7" borderId="0" xfId="0" applyFont="1" applyFill="1" applyAlignment="1">
      <alignment horizontal="left" vertical="center" wrapText="1"/>
    </xf>
    <xf numFmtId="0" fontId="4" fillId="7" borderId="2" xfId="0" applyFont="1" applyFill="1" applyBorder="1" applyAlignment="1">
      <alignment horizontal="left" vertical="center" wrapText="1"/>
    </xf>
    <xf numFmtId="0" fontId="4" fillId="7" borderId="4" xfId="0" applyFont="1" applyFill="1" applyBorder="1" applyAlignment="1">
      <alignment horizontal="left" vertical="center" wrapText="1"/>
    </xf>
    <xf numFmtId="0" fontId="0" fillId="7" borderId="0" xfId="0" applyFill="1"/>
    <xf numFmtId="164" fontId="0" fillId="7" borderId="0" xfId="0" applyNumberFormat="1" applyFill="1" applyAlignment="1">
      <alignment horizontal="left" vertical="center" wrapText="1"/>
    </xf>
    <xf numFmtId="164" fontId="0" fillId="7" borderId="2"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ean Kologo" id="{C52B88F1-9310-4A69-AAA8-420E781B2EB2}" userId="b0c60907464561f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15" dT="2024-10-10T21:07:36.40" personId="{C52B88F1-9310-4A69-AAA8-420E781B2EB2}" id="{AE488716-AAAA-4C79-9FC8-8ECD47922DA1}">
    <text>Reference no muching</text>
  </threadedComment>
  <threadedComment ref="AT17" dT="2024-10-10T21:00:05.93" personId="{C52B88F1-9310-4A69-AAA8-420E781B2EB2}" id="{093798BB-9843-4F60-BBC3-6FB36739B1CD}">
    <text>Compared to surface broadcast</text>
  </threadedComment>
  <threadedComment ref="R19" dT="2024-10-09T06:05:49.63" personId="{C52B88F1-9310-4A69-AAA8-420E781B2EB2}" id="{55E8AD3A-3FA8-490F-AF09-38E187B8F26C}">
    <text>Mean of the 2 application date</text>
  </threadedComment>
  <threadedComment ref="AD19" dT="2024-10-08T21:29:35.04" personId="{C52B88F1-9310-4A69-AAA8-420E781B2EB2}" id="{7F297970-0212-4069-B22A-237DC5A73CA9}">
    <text>In the manuscript they are considered as treatment</text>
  </threadedComment>
  <threadedComment ref="AS19" dT="2024-10-30T05:54:02.05" personId="{C52B88F1-9310-4A69-AAA8-420E781B2EB2}" id="{69255451-B9D2-42C1-9996-94B896CFE0F6}">
    <text>SE</text>
  </threadedComment>
  <threadedComment ref="AV19" dT="2024-10-09T06:39:47.15" personId="{C52B88F1-9310-4A69-AAA8-420E781B2EB2}" id="{24AE4403-BE19-4D69-9EC0-677149A0B582}">
    <text>Might be calculabe</text>
  </threadedComment>
  <threadedComment ref="AO32" dT="2024-10-09T23:20:19.74" personId="{C52B88F1-9310-4A69-AAA8-420E781B2EB2}" id="{9DD6B8E6-E397-4523-A637-D4B1C12474F5}">
    <text>No acid and with vegetation.</text>
  </threadedComment>
  <threadedComment ref="AT32" dT="2024-10-09T23:23:43.12" personId="{C52B88F1-9310-4A69-AAA8-420E781B2EB2}" id="{F176A56E-6CE5-407F-83AC-DA518B33A416}">
    <text>I did the calculation</text>
  </threadedComment>
  <threadedComment ref="AO33" dT="2024-10-09T23:17:55.21" personId="{C52B88F1-9310-4A69-AAA8-420E781B2EB2}" id="{ABAAB877-2A50-498D-89F7-4259CE8C515E}">
    <text>No acidification so just the pig slurry digestate</text>
  </threadedComment>
  <threadedComment ref="R34" dT="2024-10-16T19:03:09.51" personId="{C52B88F1-9310-4A69-AAA8-420E781B2EB2}" id="{04B7FC16-830A-43CA-84EE-FABB72D60A6F}">
    <text>I assume they used the not amended slurry to obtain the acidified(so going from 42.9 to 48.9). Also from the not amended slurry they applied l/s separation going from 42.9 to 20.9.  And finally they used the LF not amended to obtain ALF going to 20.9 to 23.2</text>
  </threadedComment>
  <threadedComment ref="AT39" dT="2024-10-26T19:55:09.91" personId="{C52B88F1-9310-4A69-AAA8-420E781B2EB2}" id="{7FB92093-A92D-4EC2-8067-7061E4D832DF}">
    <text>In the text they have 79%</text>
  </threadedComment>
  <threadedComment ref="AX85" dT="2024-10-29T21:17:08.63" personId="{C52B88F1-9310-4A69-AAA8-420E781B2EB2}" id="{FDFB09BE-CA6B-41AB-8DF7-1125BCCCB7F1}">
    <text>Here I use calculation : (reference-treat)/reference</text>
  </threadedComment>
  <threadedComment ref="AL86" dT="2024-10-25T18:34:14.86" personId="{C52B88F1-9310-4A69-AAA8-420E781B2EB2}" id="{C0A36E38-F3DD-4A75-8372-E2FCFF434D5C}">
    <text>Mean of 2 app</text>
  </threadedComment>
  <threadedComment ref="O114" dT="2024-11-05T19:32:54.51" personId="{C52B88F1-9310-4A69-AAA8-420E781B2EB2}" id="{2528B21E-7766-484B-8452-219DF5790866}">
    <text>The digestate was a product of cattle slurry (dairy cows) co-digested with deep litter (cattle).</text>
  </threadedComment>
  <threadedComment ref="T114" dT="2024-11-05T19:56:03.51" personId="{C52B88F1-9310-4A69-AAA8-420E781B2EB2}" id="{403683FF-1004-4CA3-AAFE-A731D9EEAD74}">
    <text>It is the TAN rate application</text>
  </threadedComment>
  <threadedComment ref="Y114" dT="2024-11-05T19:50:58.49" personId="{C52B88F1-9310-4A69-AAA8-420E781B2EB2}" id="{CB13DFF8-35E3-44A3-816E-C9A4201D5306}">
    <text>In the study they said experiments A and B were conducted in 2020 but in table 1 the application date show 2021</text>
  </threadedComment>
  <threadedComment ref="M125" dT="2024-11-06T06:51:25.37" personId="{C52B88F1-9310-4A69-AAA8-420E781B2EB2}" id="{EE71BBE2-668E-4C81-9E6D-5420F0F3CF58}">
    <text>BARE SOIL</text>
  </threadedComment>
  <threadedComment ref="AM125" dT="2024-11-06T20:39:09.89" personId="{C52B88F1-9310-4A69-AAA8-420E781B2EB2}" id="{FAA37241-6CEF-4B8A-AE24-D7A12F747B33}">
    <text>Reference is experiment G</text>
  </threadedComment>
  <threadedComment ref="AK133" dT="2024-11-07T21:23:39.58" personId="{C52B88F1-9310-4A69-AAA8-420E781B2EB2}" id="{22E8FA60-46AB-4520-B336-D3DE7E389D8C}">
    <text>AT the application</text>
  </threadedComment>
  <threadedComment ref="AT133" dT="2024-11-07T21:05:38.17" personId="{C52B88F1-9310-4A69-AAA8-420E781B2EB2}" id="{0E3EA85A-16CB-49DD-8271-8EF2379DE1C3}">
    <text>Discussion about the reduction they found in the study</text>
  </threadedComment>
  <threadedComment ref="R134" dT="2024-11-07T20:46:19.59" personId="{C52B88F1-9310-4A69-AAA8-420E781B2EB2}" id="{2349DE57-7B3E-4BFD-9F29-D3EFB079F473}">
    <text>I used the DM of the untreated manure for the separated manure before separation. But the TAN of the separated manure here in the next column is the actual TAN of the separated manure</text>
  </threadedComment>
  <threadedComment ref="W152" dT="2024-11-09T22:10:49.84" personId="{C52B88F1-9310-4A69-AAA8-420E781B2EB2}" id="{CABA102E-8A96-492D-B3FB-2A00D5C36587}">
    <text>65</text>
  </threadedComment>
  <threadedComment ref="R202" dT="2024-11-17T04:02:17.07" personId="{C52B88F1-9310-4A69-AAA8-420E781B2EB2}" id="{3305360A-C33C-4A0E-9409-E51203941FE1}">
    <text>Solid content</text>
  </threadedComment>
  <threadedComment ref="R217" dT="2024-11-20T19:42:18.55" personId="{C52B88F1-9310-4A69-AAA8-420E781B2EB2}" id="{CF434AF7-3FCF-47DD-B4D6-C823A2923661}">
    <text>Total solids %</text>
  </threadedComment>
  <threadedComment ref="T217" dT="2024-11-20T19:47:56.79" personId="{C52B88F1-9310-4A69-AAA8-420E781B2EB2}" id="{F67AB7C3-E170-43C4-B136-64A924E248D2}">
    <text>AN : Amoniacal Nitrogen</text>
  </threadedComment>
  <threadedComment ref="X217" dT="2024-11-20T19:49:22.45" personId="{C52B88F1-9310-4A69-AAA8-420E781B2EB2}" id="{42626E0B-49E8-4E88-BAED-89515EE00A91}">
    <text>It is the applied AN rate</text>
  </threadedComment>
  <threadedComment ref="AR271" dT="2024-11-23T20:26:59.35" personId="{C52B88F1-9310-4A69-AAA8-420E781B2EB2}" id="{4D3E24C7-A053-4695-AFA9-3BD8623526F7}">
    <text>1253.6</text>
  </threadedComment>
  <threadedComment ref="AT271" dT="2024-11-23T20:25:55.98" personId="{C52B88F1-9310-4A69-AAA8-420E781B2EB2}" id="{5579D0C0-AC3A-4BC2-885F-C7C173783A13}">
    <text>13.9</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E9C9-127E-4846-B34D-8BA0CB6E1A90}">
  <dimension ref="A1:C30"/>
  <sheetViews>
    <sheetView topLeftCell="A21" workbookViewId="0">
      <selection sqref="A1:XFD1"/>
    </sheetView>
  </sheetViews>
  <sheetFormatPr defaultRowHeight="14.5" x14ac:dyDescent="0.35"/>
  <cols>
    <col min="1" max="1" width="26.54296875" bestFit="1" customWidth="1"/>
    <col min="2" max="2" width="21.81640625" customWidth="1"/>
    <col min="3" max="3" width="137.54296875" bestFit="1" customWidth="1"/>
  </cols>
  <sheetData>
    <row r="1" spans="1:3" x14ac:dyDescent="0.35">
      <c r="A1" t="s">
        <v>0</v>
      </c>
      <c r="B1" t="s">
        <v>34</v>
      </c>
      <c r="C1" t="s">
        <v>17</v>
      </c>
    </row>
    <row r="2" spans="1:3" x14ac:dyDescent="0.35">
      <c r="A2" t="s">
        <v>1</v>
      </c>
      <c r="B2" t="s">
        <v>35</v>
      </c>
      <c r="C2" t="s">
        <v>18</v>
      </c>
    </row>
    <row r="3" spans="1:3" x14ac:dyDescent="0.35">
      <c r="A3" t="s">
        <v>2</v>
      </c>
      <c r="B3" t="s">
        <v>36</v>
      </c>
      <c r="C3" t="s">
        <v>19</v>
      </c>
    </row>
    <row r="4" spans="1:3" x14ac:dyDescent="0.35">
      <c r="A4" t="s">
        <v>3</v>
      </c>
      <c r="B4" t="s">
        <v>37</v>
      </c>
      <c r="C4" t="s">
        <v>20</v>
      </c>
    </row>
    <row r="5" spans="1:3" x14ac:dyDescent="0.35">
      <c r="A5" t="s">
        <v>4</v>
      </c>
      <c r="B5" t="s">
        <v>38</v>
      </c>
      <c r="C5" t="s">
        <v>21</v>
      </c>
    </row>
    <row r="6" spans="1:3" x14ac:dyDescent="0.35">
      <c r="A6" t="s">
        <v>87</v>
      </c>
      <c r="B6" t="s">
        <v>50</v>
      </c>
      <c r="C6" t="s">
        <v>77</v>
      </c>
    </row>
    <row r="7" spans="1:3" x14ac:dyDescent="0.35">
      <c r="A7" t="s">
        <v>88</v>
      </c>
      <c r="B7" t="s">
        <v>86</v>
      </c>
      <c r="C7" t="s">
        <v>89</v>
      </c>
    </row>
    <row r="8" spans="1:3" x14ac:dyDescent="0.35">
      <c r="A8" t="s">
        <v>5</v>
      </c>
      <c r="B8" t="s">
        <v>39</v>
      </c>
      <c r="C8" t="s">
        <v>22</v>
      </c>
    </row>
    <row r="9" spans="1:3" x14ac:dyDescent="0.35">
      <c r="A9" t="s">
        <v>6</v>
      </c>
      <c r="B9" t="s">
        <v>51</v>
      </c>
      <c r="C9" t="s">
        <v>42</v>
      </c>
    </row>
    <row r="10" spans="1:3" x14ac:dyDescent="0.35">
      <c r="A10" t="s">
        <v>40</v>
      </c>
      <c r="B10" t="s">
        <v>52</v>
      </c>
      <c r="C10" t="s">
        <v>41</v>
      </c>
    </row>
    <row r="11" spans="1:3" x14ac:dyDescent="0.35">
      <c r="A11" t="s">
        <v>10</v>
      </c>
      <c r="B11" t="s">
        <v>43</v>
      </c>
      <c r="C11" t="s">
        <v>59</v>
      </c>
    </row>
    <row r="12" spans="1:3" x14ac:dyDescent="0.35">
      <c r="A12" t="s">
        <v>11</v>
      </c>
      <c r="B12" t="s">
        <v>44</v>
      </c>
      <c r="C12" t="s">
        <v>24</v>
      </c>
    </row>
    <row r="13" spans="1:3" x14ac:dyDescent="0.35">
      <c r="A13" t="s">
        <v>12</v>
      </c>
      <c r="B13" t="s">
        <v>45</v>
      </c>
      <c r="C13" t="s">
        <v>25</v>
      </c>
    </row>
    <row r="14" spans="1:3" x14ac:dyDescent="0.35">
      <c r="A14" t="s">
        <v>14</v>
      </c>
      <c r="B14" t="s">
        <v>46</v>
      </c>
      <c r="C14" t="s">
        <v>48</v>
      </c>
    </row>
    <row r="15" spans="1:3" x14ac:dyDescent="0.35">
      <c r="A15" t="s">
        <v>15</v>
      </c>
      <c r="B15" t="s">
        <v>47</v>
      </c>
      <c r="C15" t="s">
        <v>26</v>
      </c>
    </row>
    <row r="16" spans="1:3" x14ac:dyDescent="0.35">
      <c r="A16" t="s">
        <v>32</v>
      </c>
      <c r="B16" t="s">
        <v>49</v>
      </c>
      <c r="C16" t="s">
        <v>53</v>
      </c>
    </row>
    <row r="17" spans="1:3" x14ac:dyDescent="0.35">
      <c r="A17" t="s">
        <v>55</v>
      </c>
      <c r="B17" t="s">
        <v>54</v>
      </c>
      <c r="C17" t="s">
        <v>56</v>
      </c>
    </row>
    <row r="18" spans="1:3" x14ac:dyDescent="0.35">
      <c r="A18" t="s">
        <v>33</v>
      </c>
      <c r="B18" t="s">
        <v>57</v>
      </c>
      <c r="C18" t="s">
        <v>58</v>
      </c>
    </row>
    <row r="19" spans="1:3" x14ac:dyDescent="0.35">
      <c r="A19" t="s">
        <v>7</v>
      </c>
      <c r="B19" t="s">
        <v>64</v>
      </c>
      <c r="C19" t="s">
        <v>27</v>
      </c>
    </row>
    <row r="20" spans="1:3" x14ac:dyDescent="0.35">
      <c r="A20" t="s">
        <v>8</v>
      </c>
      <c r="B20" t="s">
        <v>65</v>
      </c>
      <c r="C20" t="s">
        <v>28</v>
      </c>
    </row>
    <row r="21" spans="1:3" x14ac:dyDescent="0.35">
      <c r="A21" t="s">
        <v>9</v>
      </c>
      <c r="B21" t="s">
        <v>66</v>
      </c>
      <c r="C21" t="s">
        <v>29</v>
      </c>
    </row>
    <row r="22" spans="1:3" x14ac:dyDescent="0.35">
      <c r="A22" t="s">
        <v>13</v>
      </c>
      <c r="B22" t="s">
        <v>60</v>
      </c>
      <c r="C22" t="s">
        <v>30</v>
      </c>
    </row>
    <row r="23" spans="1:3" x14ac:dyDescent="0.35">
      <c r="A23" t="s">
        <v>62</v>
      </c>
      <c r="B23" t="s">
        <v>61</v>
      </c>
      <c r="C23" t="s">
        <v>63</v>
      </c>
    </row>
    <row r="24" spans="1:3" x14ac:dyDescent="0.35">
      <c r="A24" t="s">
        <v>69</v>
      </c>
      <c r="B24" t="s">
        <v>73</v>
      </c>
      <c r="C24" t="s">
        <v>82</v>
      </c>
    </row>
    <row r="25" spans="1:3" x14ac:dyDescent="0.35">
      <c r="A25" t="s">
        <v>72</v>
      </c>
      <c r="B25" t="s">
        <v>74</v>
      </c>
      <c r="C25" t="s">
        <v>83</v>
      </c>
    </row>
    <row r="26" spans="1:3" x14ac:dyDescent="0.35">
      <c r="A26" t="s">
        <v>70</v>
      </c>
      <c r="B26" t="s">
        <v>75</v>
      </c>
      <c r="C26" t="s">
        <v>84</v>
      </c>
    </row>
    <row r="27" spans="1:3" x14ac:dyDescent="0.35">
      <c r="A27" t="s">
        <v>71</v>
      </c>
      <c r="B27" t="s">
        <v>76</v>
      </c>
      <c r="C27" t="s">
        <v>85</v>
      </c>
    </row>
    <row r="28" spans="1:3" x14ac:dyDescent="0.35">
      <c r="A28" t="s">
        <v>16</v>
      </c>
      <c r="B28" t="s">
        <v>67</v>
      </c>
      <c r="C28" t="s">
        <v>78</v>
      </c>
    </row>
    <row r="29" spans="1:3" x14ac:dyDescent="0.35">
      <c r="A29" t="s">
        <v>79</v>
      </c>
      <c r="B29" t="s">
        <v>80</v>
      </c>
      <c r="C29" t="s">
        <v>81</v>
      </c>
    </row>
    <row r="30" spans="1:3" x14ac:dyDescent="0.35">
      <c r="A30" t="s">
        <v>23</v>
      </c>
      <c r="B30" t="s">
        <v>68</v>
      </c>
      <c r="C30" t="s">
        <v>31</v>
      </c>
    </row>
  </sheetData>
  <pageMargins left="0.7" right="0.7" top="0.75" bottom="0.75" header="0.3" footer="0.3"/>
  <headerFooter>
    <oddHeader>&amp;R&amp;"Calibri"&amp;10&amp;K000000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5D03E-84A5-4E70-9EFA-07826CEBC622}">
  <dimension ref="A1:AY336"/>
  <sheetViews>
    <sheetView tabSelected="1" zoomScale="66" zoomScaleNormal="100" workbookViewId="0">
      <pane xSplit="2" ySplit="1" topLeftCell="C331" activePane="bottomRight" state="frozen"/>
      <selection pane="topRight" activeCell="C1" sqref="C1"/>
      <selection pane="bottomLeft" activeCell="A3" sqref="A3"/>
      <selection pane="bottomRight" activeCell="H333" sqref="H333"/>
    </sheetView>
  </sheetViews>
  <sheetFormatPr defaultColWidth="8.81640625" defaultRowHeight="14.5" x14ac:dyDescent="0.35"/>
  <cols>
    <col min="1" max="1" width="8.81640625" style="1"/>
    <col min="2" max="2" width="14.1796875" style="2" customWidth="1"/>
    <col min="3" max="3" width="59.81640625" style="2" customWidth="1"/>
    <col min="4" max="4" width="8.54296875" style="2" customWidth="1"/>
    <col min="5" max="5" width="9.81640625" style="2" customWidth="1"/>
    <col min="6" max="6" width="6.453125" style="2" customWidth="1"/>
    <col min="7" max="7" width="22.453125" style="2" customWidth="1"/>
    <col min="8" max="8" width="21.54296875" style="2" customWidth="1"/>
    <col min="9" max="10" width="19.453125" style="2" customWidth="1"/>
    <col min="11" max="11" width="11" style="5" customWidth="1"/>
    <col min="12" max="12" width="12.453125" style="5" customWidth="1"/>
    <col min="13" max="14" width="23" style="2" customWidth="1"/>
    <col min="15" max="15" width="12.453125" style="2" customWidth="1"/>
    <col min="16" max="16" width="15.54296875" style="2" bestFit="1" customWidth="1"/>
    <col min="17" max="17" width="8.453125" style="1" bestFit="1" customWidth="1"/>
    <col min="18" max="18" width="11.1796875" style="1" bestFit="1" customWidth="1"/>
    <col min="19" max="21" width="11.1796875" style="1" customWidth="1"/>
    <col min="22" max="22" width="7.54296875" style="1" customWidth="1"/>
    <col min="23" max="23" width="9.1796875" style="2" bestFit="1" customWidth="1"/>
    <col min="24" max="24" width="10.54296875" style="2" bestFit="1" customWidth="1"/>
    <col min="25" max="26" width="10.54296875" style="2" customWidth="1"/>
    <col min="27" max="28" width="9.453125" style="2" customWidth="1"/>
    <col min="29" max="29" width="20.453125" style="2" customWidth="1"/>
    <col min="30" max="31" width="44.54296875" style="1" customWidth="1"/>
    <col min="32" max="33" width="18.453125" style="2" customWidth="1"/>
    <col min="34" max="36" width="19" style="2" customWidth="1"/>
    <col min="37" max="37" width="8.54296875" style="1" bestFit="1" customWidth="1"/>
    <col min="38" max="38" width="9" style="1" bestFit="1" customWidth="1"/>
    <col min="39" max="39" width="12.453125" style="1" bestFit="1" customWidth="1"/>
    <col min="40" max="40" width="15" style="1" customWidth="1"/>
    <col min="41" max="41" width="13.54296875" style="1" bestFit="1" customWidth="1"/>
    <col min="42" max="42" width="14.453125" style="1" bestFit="1" customWidth="1"/>
    <col min="43" max="43" width="17" style="1" customWidth="1"/>
    <col min="44" max="44" width="15.54296875" style="1" bestFit="1" customWidth="1"/>
    <col min="45" max="45" width="18.453125" style="1" bestFit="1" customWidth="1"/>
    <col min="46" max="47" width="6.54296875" style="2" customWidth="1"/>
    <col min="48" max="48" width="6.81640625" style="1" bestFit="1" customWidth="1"/>
    <col min="49" max="49" width="6.54296875" style="2" customWidth="1"/>
    <col min="50" max="50" width="10.453125" style="1" customWidth="1"/>
    <col min="51" max="51" width="27.54296875" style="1" customWidth="1"/>
    <col min="52" max="52" width="11.54296875" style="1" bestFit="1" customWidth="1"/>
    <col min="53" max="16384" width="8.81640625" style="1"/>
  </cols>
  <sheetData>
    <row r="1" spans="1:51" ht="23.15" customHeight="1" x14ac:dyDescent="0.35">
      <c r="A1" s="4" t="s">
        <v>974</v>
      </c>
      <c r="B1" s="13" t="s">
        <v>34</v>
      </c>
      <c r="C1" s="13" t="s">
        <v>973</v>
      </c>
      <c r="D1" s="13" t="s">
        <v>36</v>
      </c>
      <c r="E1" s="13" t="s">
        <v>37</v>
      </c>
      <c r="F1" s="13" t="s">
        <v>94</v>
      </c>
      <c r="G1" s="13" t="s">
        <v>972</v>
      </c>
      <c r="H1" s="13" t="s">
        <v>969</v>
      </c>
      <c r="I1" s="13" t="s">
        <v>970</v>
      </c>
      <c r="J1" s="13" t="s">
        <v>971</v>
      </c>
      <c r="K1" s="6" t="s">
        <v>50</v>
      </c>
      <c r="L1" s="6" t="s">
        <v>86</v>
      </c>
      <c r="M1" s="13" t="s">
        <v>39</v>
      </c>
      <c r="N1" s="48" t="s">
        <v>975</v>
      </c>
      <c r="O1" s="13" t="s">
        <v>51</v>
      </c>
      <c r="P1" s="48" t="s">
        <v>888</v>
      </c>
      <c r="Q1" s="50" t="s">
        <v>52</v>
      </c>
      <c r="R1" s="50" t="s">
        <v>43</v>
      </c>
      <c r="S1" s="4" t="s">
        <v>287</v>
      </c>
      <c r="T1" s="4" t="s">
        <v>44</v>
      </c>
      <c r="U1" s="4" t="s">
        <v>289</v>
      </c>
      <c r="V1" s="4" t="s">
        <v>45</v>
      </c>
      <c r="W1" s="13" t="s">
        <v>976</v>
      </c>
      <c r="X1" s="48" t="s">
        <v>977</v>
      </c>
      <c r="Y1" s="13" t="s">
        <v>49</v>
      </c>
      <c r="Z1" s="13" t="s">
        <v>910</v>
      </c>
      <c r="AA1" s="13" t="s">
        <v>54</v>
      </c>
      <c r="AB1" s="13" t="s">
        <v>900</v>
      </c>
      <c r="AC1" s="13" t="s">
        <v>57</v>
      </c>
      <c r="AD1" s="4" t="s">
        <v>64</v>
      </c>
      <c r="AE1" s="50" t="s">
        <v>903</v>
      </c>
      <c r="AF1" s="13" t="s">
        <v>65</v>
      </c>
      <c r="AG1" s="48" t="s">
        <v>965</v>
      </c>
      <c r="AH1" s="13" t="s">
        <v>66</v>
      </c>
      <c r="AI1" s="48" t="s">
        <v>978</v>
      </c>
      <c r="AJ1" s="13" t="s">
        <v>979</v>
      </c>
      <c r="AK1" s="4" t="s">
        <v>60</v>
      </c>
      <c r="AL1" s="4" t="s">
        <v>61</v>
      </c>
      <c r="AM1" s="4" t="s">
        <v>73</v>
      </c>
      <c r="AN1" s="4" t="s">
        <v>456</v>
      </c>
      <c r="AO1" s="4" t="s">
        <v>74</v>
      </c>
      <c r="AP1" s="4" t="s">
        <v>75</v>
      </c>
      <c r="AQ1" s="4" t="s">
        <v>457</v>
      </c>
      <c r="AR1" s="4" t="s">
        <v>76</v>
      </c>
      <c r="AS1" s="4" t="s">
        <v>300</v>
      </c>
      <c r="AT1" s="13" t="s">
        <v>67</v>
      </c>
      <c r="AU1" s="48" t="s">
        <v>905</v>
      </c>
      <c r="AV1" s="4" t="s">
        <v>80</v>
      </c>
      <c r="AW1" s="13" t="s">
        <v>210</v>
      </c>
      <c r="AX1" s="4" t="s">
        <v>68</v>
      </c>
      <c r="AY1" s="3" t="s">
        <v>980</v>
      </c>
    </row>
    <row r="2" spans="1:51" ht="27.75" customHeight="1" x14ac:dyDescent="0.35">
      <c r="A2" s="1">
        <v>1</v>
      </c>
      <c r="B2" s="2" t="s">
        <v>90</v>
      </c>
      <c r="C2" s="2" t="s">
        <v>91</v>
      </c>
      <c r="D2" s="2" t="s">
        <v>92</v>
      </c>
      <c r="E2" s="2" t="s">
        <v>108</v>
      </c>
      <c r="F2" s="2">
        <v>1</v>
      </c>
      <c r="G2" s="2" t="s">
        <v>485</v>
      </c>
      <c r="H2" s="2">
        <v>687</v>
      </c>
      <c r="I2" s="2">
        <v>103</v>
      </c>
      <c r="J2" s="2" t="s">
        <v>880</v>
      </c>
      <c r="K2" s="5">
        <v>40848</v>
      </c>
      <c r="L2" s="5">
        <v>41213</v>
      </c>
      <c r="M2" s="2" t="s">
        <v>110</v>
      </c>
      <c r="N2" s="47" t="s">
        <v>885</v>
      </c>
      <c r="O2" s="2" t="s">
        <v>107</v>
      </c>
      <c r="P2" s="47" t="s">
        <v>889</v>
      </c>
      <c r="Q2" s="26" t="s">
        <v>93</v>
      </c>
      <c r="R2" s="47">
        <v>31.9</v>
      </c>
      <c r="S2" s="2">
        <v>0.91</v>
      </c>
      <c r="T2" s="2" t="s">
        <v>288</v>
      </c>
      <c r="U2" s="2">
        <v>0.03</v>
      </c>
      <c r="V2" s="2" t="s">
        <v>292</v>
      </c>
      <c r="W2" s="2" t="s">
        <v>298</v>
      </c>
      <c r="X2" s="47" t="s">
        <v>299</v>
      </c>
      <c r="Y2" s="2" t="s">
        <v>109</v>
      </c>
      <c r="AA2" s="2" t="s">
        <v>98</v>
      </c>
      <c r="AB2" s="2" t="s">
        <v>226</v>
      </c>
      <c r="AC2" s="2" t="s">
        <v>899</v>
      </c>
      <c r="AD2" s="2" t="s">
        <v>100</v>
      </c>
      <c r="AE2" s="47" t="s">
        <v>1034</v>
      </c>
      <c r="AF2" s="2" t="s">
        <v>99</v>
      </c>
      <c r="AG2" s="47" t="s">
        <v>966</v>
      </c>
      <c r="AH2" s="2" t="s">
        <v>105</v>
      </c>
      <c r="AI2" s="47"/>
      <c r="AK2" s="1" t="s">
        <v>101</v>
      </c>
      <c r="AL2" s="1" t="s">
        <v>101</v>
      </c>
      <c r="AM2" s="1" t="s">
        <v>101</v>
      </c>
      <c r="AN2" s="1" t="s">
        <v>101</v>
      </c>
      <c r="AO2" s="1" t="s">
        <v>101</v>
      </c>
      <c r="AP2" s="1" t="s">
        <v>101</v>
      </c>
      <c r="AQ2" s="1" t="s">
        <v>101</v>
      </c>
      <c r="AR2" s="1" t="s">
        <v>101</v>
      </c>
      <c r="AS2" s="1" t="s">
        <v>101</v>
      </c>
      <c r="AT2" s="14" t="s">
        <v>139</v>
      </c>
      <c r="AU2" s="47">
        <f>100-AT2</f>
        <v>95.63</v>
      </c>
      <c r="AV2" s="1" t="s">
        <v>101</v>
      </c>
      <c r="AW2" s="2" t="s">
        <v>238</v>
      </c>
      <c r="AX2" s="2" t="s">
        <v>102</v>
      </c>
      <c r="AY2" s="3" t="s">
        <v>908</v>
      </c>
    </row>
    <row r="3" spans="1:51" ht="27.75" customHeight="1" x14ac:dyDescent="0.35">
      <c r="A3" s="1">
        <v>1</v>
      </c>
      <c r="B3" s="2" t="s">
        <v>90</v>
      </c>
      <c r="C3" s="2" t="s">
        <v>91</v>
      </c>
      <c r="D3" s="2" t="s">
        <v>92</v>
      </c>
      <c r="E3" s="2" t="s">
        <v>108</v>
      </c>
      <c r="F3" s="2">
        <v>1</v>
      </c>
      <c r="G3" s="2" t="s">
        <v>485</v>
      </c>
      <c r="H3" s="2">
        <v>687</v>
      </c>
      <c r="I3" s="2">
        <v>103</v>
      </c>
      <c r="J3" s="2" t="s">
        <v>880</v>
      </c>
      <c r="K3" s="5">
        <v>40848</v>
      </c>
      <c r="L3" s="5">
        <v>41213</v>
      </c>
      <c r="M3" s="2" t="s">
        <v>110</v>
      </c>
      <c r="N3" s="47" t="s">
        <v>885</v>
      </c>
      <c r="O3" s="2" t="s">
        <v>107</v>
      </c>
      <c r="P3" s="47" t="s">
        <v>889</v>
      </c>
      <c r="Q3" s="26" t="s">
        <v>93</v>
      </c>
      <c r="R3" s="47">
        <v>31.9</v>
      </c>
      <c r="S3" s="2">
        <v>0.91</v>
      </c>
      <c r="T3" s="2" t="s">
        <v>288</v>
      </c>
      <c r="U3" s="2">
        <v>0.03</v>
      </c>
      <c r="V3" s="2" t="s">
        <v>292</v>
      </c>
      <c r="W3" s="2" t="s">
        <v>298</v>
      </c>
      <c r="X3" s="47" t="s">
        <v>299</v>
      </c>
      <c r="Y3" s="2" t="s">
        <v>109</v>
      </c>
      <c r="AA3" s="2" t="s">
        <v>98</v>
      </c>
      <c r="AB3" s="2" t="s">
        <v>226</v>
      </c>
      <c r="AC3" s="2" t="s">
        <v>899</v>
      </c>
      <c r="AD3" s="2" t="s">
        <v>100</v>
      </c>
      <c r="AE3" s="47" t="s">
        <v>1034</v>
      </c>
      <c r="AF3" s="2" t="s">
        <v>99</v>
      </c>
      <c r="AG3" s="47" t="s">
        <v>966</v>
      </c>
      <c r="AH3" s="2" t="s">
        <v>103</v>
      </c>
      <c r="AI3" s="47" t="s">
        <v>906</v>
      </c>
      <c r="AJ3" s="2" t="s">
        <v>907</v>
      </c>
      <c r="AK3" s="1" t="s">
        <v>101</v>
      </c>
      <c r="AL3" s="1" t="s">
        <v>101</v>
      </c>
      <c r="AM3" s="1" t="s">
        <v>101</v>
      </c>
      <c r="AN3" s="1" t="s">
        <v>101</v>
      </c>
      <c r="AO3" s="1" t="s">
        <v>101</v>
      </c>
      <c r="AP3" s="1" t="s">
        <v>101</v>
      </c>
      <c r="AQ3" s="1" t="s">
        <v>101</v>
      </c>
      <c r="AR3" s="1" t="s">
        <v>101</v>
      </c>
      <c r="AS3" s="1" t="s">
        <v>101</v>
      </c>
      <c r="AT3" s="2" t="s">
        <v>141</v>
      </c>
      <c r="AU3" s="58">
        <f>100-AT3</f>
        <v>98.4</v>
      </c>
      <c r="AV3" s="1" t="s">
        <v>101</v>
      </c>
      <c r="AW3" s="2" t="s">
        <v>238</v>
      </c>
      <c r="AX3" s="2" t="s">
        <v>102</v>
      </c>
    </row>
    <row r="4" spans="1:51" ht="27.75" customHeight="1" x14ac:dyDescent="0.35">
      <c r="A4" s="1">
        <v>1</v>
      </c>
      <c r="B4" s="2" t="s">
        <v>90</v>
      </c>
      <c r="C4" s="2" t="s">
        <v>91</v>
      </c>
      <c r="D4" s="2" t="s">
        <v>92</v>
      </c>
      <c r="E4" s="2" t="s">
        <v>108</v>
      </c>
      <c r="F4" s="2">
        <v>1</v>
      </c>
      <c r="G4" s="2" t="s">
        <v>485</v>
      </c>
      <c r="H4" s="2">
        <v>687</v>
      </c>
      <c r="I4" s="2">
        <v>103</v>
      </c>
      <c r="J4" s="2" t="s">
        <v>880</v>
      </c>
      <c r="K4" s="5">
        <v>40848</v>
      </c>
      <c r="L4" s="5">
        <v>41213</v>
      </c>
      <c r="M4" s="2" t="s">
        <v>110</v>
      </c>
      <c r="N4" s="47" t="s">
        <v>885</v>
      </c>
      <c r="O4" s="2" t="s">
        <v>107</v>
      </c>
      <c r="P4" s="47" t="s">
        <v>889</v>
      </c>
      <c r="Q4" s="26" t="s">
        <v>93</v>
      </c>
      <c r="R4" s="47">
        <v>31.9</v>
      </c>
      <c r="S4" s="2">
        <v>0.91</v>
      </c>
      <c r="T4" s="2" t="s">
        <v>288</v>
      </c>
      <c r="U4" s="2">
        <v>0.03</v>
      </c>
      <c r="V4" s="2" t="s">
        <v>292</v>
      </c>
      <c r="W4" s="2" t="s">
        <v>298</v>
      </c>
      <c r="X4" s="47" t="s">
        <v>299</v>
      </c>
      <c r="Y4" s="2" t="s">
        <v>109</v>
      </c>
      <c r="AA4" s="2" t="s">
        <v>98</v>
      </c>
      <c r="AB4" s="2" t="s">
        <v>226</v>
      </c>
      <c r="AC4" s="2" t="s">
        <v>899</v>
      </c>
      <c r="AD4" s="2" t="s">
        <v>100</v>
      </c>
      <c r="AE4" s="47" t="s">
        <v>909</v>
      </c>
      <c r="AF4" s="2" t="s">
        <v>99</v>
      </c>
      <c r="AG4" s="47" t="s">
        <v>966</v>
      </c>
      <c r="AH4" s="2" t="s">
        <v>106</v>
      </c>
      <c r="AI4" s="47"/>
      <c r="AK4" s="1" t="s">
        <v>101</v>
      </c>
      <c r="AL4" s="1" t="s">
        <v>101</v>
      </c>
      <c r="AM4" s="1" t="s">
        <v>101</v>
      </c>
      <c r="AN4" s="1" t="s">
        <v>101</v>
      </c>
      <c r="AO4" s="1" t="s">
        <v>101</v>
      </c>
      <c r="AP4" s="1" t="s">
        <v>101</v>
      </c>
      <c r="AQ4" s="1" t="s">
        <v>101</v>
      </c>
      <c r="AR4" s="1" t="s">
        <v>101</v>
      </c>
      <c r="AS4" s="1" t="s">
        <v>101</v>
      </c>
      <c r="AT4" s="14" t="s">
        <v>140</v>
      </c>
      <c r="AU4" s="47">
        <v>0</v>
      </c>
      <c r="AV4" s="1" t="s">
        <v>101</v>
      </c>
      <c r="AW4" s="2" t="s">
        <v>238</v>
      </c>
      <c r="AX4" s="2" t="s">
        <v>102</v>
      </c>
    </row>
    <row r="5" spans="1:51" ht="27.75" customHeight="1" x14ac:dyDescent="0.35">
      <c r="A5" s="1">
        <v>1</v>
      </c>
      <c r="B5" s="2" t="s">
        <v>90</v>
      </c>
      <c r="C5" s="2" t="s">
        <v>91</v>
      </c>
      <c r="D5" s="2" t="s">
        <v>92</v>
      </c>
      <c r="E5" s="2" t="s">
        <v>108</v>
      </c>
      <c r="F5" s="2">
        <v>1</v>
      </c>
      <c r="G5" s="2" t="s">
        <v>485</v>
      </c>
      <c r="H5" s="2">
        <v>687</v>
      </c>
      <c r="I5" s="2">
        <v>103</v>
      </c>
      <c r="J5" s="2" t="s">
        <v>880</v>
      </c>
      <c r="K5" s="5">
        <v>40848</v>
      </c>
      <c r="L5" s="5">
        <v>41213</v>
      </c>
      <c r="M5" s="2" t="s">
        <v>110</v>
      </c>
      <c r="N5" s="47" t="s">
        <v>885</v>
      </c>
      <c r="O5" s="2" t="s">
        <v>107</v>
      </c>
      <c r="P5" s="47" t="s">
        <v>889</v>
      </c>
      <c r="Q5" s="26" t="s">
        <v>93</v>
      </c>
      <c r="R5" s="47">
        <v>3.19</v>
      </c>
      <c r="S5" s="2">
        <v>9.0999999999999998E-2</v>
      </c>
      <c r="T5" s="2" t="s">
        <v>288</v>
      </c>
      <c r="U5" s="2">
        <v>0.03</v>
      </c>
      <c r="V5" s="2" t="s">
        <v>292</v>
      </c>
      <c r="W5" s="2" t="s">
        <v>298</v>
      </c>
      <c r="X5" s="47" t="s">
        <v>299</v>
      </c>
      <c r="Y5" s="2" t="s">
        <v>109</v>
      </c>
      <c r="AA5" s="2" t="s">
        <v>98</v>
      </c>
      <c r="AB5" s="2" t="s">
        <v>226</v>
      </c>
      <c r="AC5" s="2" t="s">
        <v>899</v>
      </c>
      <c r="AD5" s="2" t="s">
        <v>100</v>
      </c>
      <c r="AE5" s="47" t="s">
        <v>909</v>
      </c>
      <c r="AF5" s="2" t="s">
        <v>99</v>
      </c>
      <c r="AG5" s="47" t="s">
        <v>966</v>
      </c>
      <c r="AH5" s="2" t="s">
        <v>104</v>
      </c>
      <c r="AI5" s="47" t="s">
        <v>906</v>
      </c>
      <c r="AJ5" s="2" t="s">
        <v>907</v>
      </c>
      <c r="AK5" s="1" t="s">
        <v>101</v>
      </c>
      <c r="AL5" s="1" t="s">
        <v>101</v>
      </c>
      <c r="AM5" s="1" t="s">
        <v>101</v>
      </c>
      <c r="AN5" s="1" t="s">
        <v>101</v>
      </c>
      <c r="AO5" s="1" t="s">
        <v>101</v>
      </c>
      <c r="AP5" s="1" t="s">
        <v>101</v>
      </c>
      <c r="AQ5" s="1" t="s">
        <v>101</v>
      </c>
      <c r="AR5" s="1" t="s">
        <v>101</v>
      </c>
      <c r="AS5" s="1" t="s">
        <v>101</v>
      </c>
      <c r="AT5" s="2" t="s">
        <v>142</v>
      </c>
      <c r="AU5" s="58">
        <f>100-AT5</f>
        <v>34.5</v>
      </c>
      <c r="AV5" s="1" t="s">
        <v>101</v>
      </c>
      <c r="AW5" s="2" t="s">
        <v>238</v>
      </c>
      <c r="AX5" s="2" t="s">
        <v>102</v>
      </c>
    </row>
    <row r="6" spans="1:51" ht="27.75" customHeight="1" x14ac:dyDescent="0.35">
      <c r="A6" s="1">
        <v>1</v>
      </c>
      <c r="B6" s="2" t="s">
        <v>90</v>
      </c>
      <c r="C6" s="2" t="s">
        <v>91</v>
      </c>
      <c r="D6" s="2" t="s">
        <v>92</v>
      </c>
      <c r="E6" s="2" t="s">
        <v>108</v>
      </c>
      <c r="F6" s="2">
        <v>2</v>
      </c>
      <c r="G6" s="2" t="s">
        <v>486</v>
      </c>
      <c r="H6" s="2">
        <v>443</v>
      </c>
      <c r="I6" s="2">
        <v>192</v>
      </c>
      <c r="J6" s="2" t="s">
        <v>881</v>
      </c>
      <c r="K6" s="5">
        <v>40878</v>
      </c>
      <c r="L6" s="5">
        <v>41243</v>
      </c>
      <c r="M6" s="2" t="s">
        <v>110</v>
      </c>
      <c r="N6" s="47" t="s">
        <v>885</v>
      </c>
      <c r="O6" s="2" t="s">
        <v>107</v>
      </c>
      <c r="P6" s="47" t="s">
        <v>889</v>
      </c>
      <c r="Q6" s="26" t="s">
        <v>93</v>
      </c>
      <c r="R6" s="26">
        <v>3.7</v>
      </c>
      <c r="S6" s="1">
        <v>2.4E-2</v>
      </c>
      <c r="T6" s="1" t="s">
        <v>290</v>
      </c>
      <c r="U6" s="1">
        <v>0.01</v>
      </c>
      <c r="V6" s="2" t="s">
        <v>293</v>
      </c>
      <c r="W6" s="2" t="s">
        <v>95</v>
      </c>
      <c r="X6" s="47" t="s">
        <v>96</v>
      </c>
      <c r="Y6" s="2">
        <v>2012</v>
      </c>
      <c r="AA6" s="2" t="s">
        <v>98</v>
      </c>
      <c r="AB6" s="2" t="s">
        <v>226</v>
      </c>
      <c r="AC6" s="2" t="s">
        <v>899</v>
      </c>
      <c r="AD6" s="2" t="s">
        <v>100</v>
      </c>
      <c r="AE6" s="47" t="s">
        <v>1034</v>
      </c>
      <c r="AF6" s="2" t="s">
        <v>99</v>
      </c>
      <c r="AG6" s="47" t="s">
        <v>966</v>
      </c>
      <c r="AH6" s="2" t="s">
        <v>105</v>
      </c>
      <c r="AI6" s="47"/>
      <c r="AK6" s="1" t="s">
        <v>101</v>
      </c>
      <c r="AL6" s="1" t="s">
        <v>101</v>
      </c>
      <c r="AM6" s="1" t="s">
        <v>101</v>
      </c>
      <c r="AN6" s="1" t="s">
        <v>101</v>
      </c>
      <c r="AO6" s="1" t="s">
        <v>101</v>
      </c>
      <c r="AP6" s="1" t="s">
        <v>101</v>
      </c>
      <c r="AQ6" s="1" t="s">
        <v>101</v>
      </c>
      <c r="AR6" s="1" t="s">
        <v>101</v>
      </c>
      <c r="AS6" s="1" t="s">
        <v>101</v>
      </c>
      <c r="AT6" s="2" t="s">
        <v>143</v>
      </c>
      <c r="AU6" s="47">
        <f>100*(AT$8-AT6)/AT$8</f>
        <v>97.1875</v>
      </c>
      <c r="AV6" s="1" t="s">
        <v>101</v>
      </c>
      <c r="AW6" s="2" t="s">
        <v>238</v>
      </c>
    </row>
    <row r="7" spans="1:51" ht="27.75" customHeight="1" x14ac:dyDescent="0.35">
      <c r="A7" s="1">
        <v>1</v>
      </c>
      <c r="B7" s="2" t="s">
        <v>90</v>
      </c>
      <c r="C7" s="2" t="s">
        <v>91</v>
      </c>
      <c r="D7" s="2" t="s">
        <v>92</v>
      </c>
      <c r="E7" s="2" t="s">
        <v>108</v>
      </c>
      <c r="F7" s="2">
        <v>2</v>
      </c>
      <c r="G7" s="2" t="s">
        <v>486</v>
      </c>
      <c r="H7" s="2">
        <v>443</v>
      </c>
      <c r="I7" s="2">
        <v>192</v>
      </c>
      <c r="J7" s="2" t="s">
        <v>881</v>
      </c>
      <c r="K7" s="5">
        <v>40878</v>
      </c>
      <c r="L7" s="5">
        <v>41243</v>
      </c>
      <c r="M7" s="2" t="s">
        <v>110</v>
      </c>
      <c r="N7" s="47" t="s">
        <v>885</v>
      </c>
      <c r="O7" s="2" t="s">
        <v>107</v>
      </c>
      <c r="P7" s="47" t="s">
        <v>889</v>
      </c>
      <c r="Q7" s="26" t="s">
        <v>93</v>
      </c>
      <c r="R7" s="26">
        <v>3.7</v>
      </c>
      <c r="S7" s="1">
        <v>2.4E-2</v>
      </c>
      <c r="T7" s="1" t="s">
        <v>290</v>
      </c>
      <c r="U7" s="1">
        <v>0.01</v>
      </c>
      <c r="V7" s="2" t="s">
        <v>294</v>
      </c>
      <c r="W7" s="2" t="s">
        <v>95</v>
      </c>
      <c r="X7" s="47" t="s">
        <v>96</v>
      </c>
      <c r="Y7" s="2">
        <v>2012</v>
      </c>
      <c r="AA7" s="2" t="s">
        <v>98</v>
      </c>
      <c r="AB7" s="2" t="s">
        <v>226</v>
      </c>
      <c r="AC7" s="2" t="s">
        <v>899</v>
      </c>
      <c r="AD7" s="2" t="s">
        <v>100</v>
      </c>
      <c r="AE7" s="47" t="s">
        <v>1034</v>
      </c>
      <c r="AF7" s="2" t="s">
        <v>99</v>
      </c>
      <c r="AG7" s="47" t="s">
        <v>966</v>
      </c>
      <c r="AH7" s="2" t="s">
        <v>103</v>
      </c>
      <c r="AI7" s="47" t="s">
        <v>906</v>
      </c>
      <c r="AJ7" s="2" t="s">
        <v>907</v>
      </c>
      <c r="AK7" s="1" t="s">
        <v>101</v>
      </c>
      <c r="AL7" s="1" t="s">
        <v>101</v>
      </c>
      <c r="AM7" s="1" t="s">
        <v>101</v>
      </c>
      <c r="AN7" s="1" t="s">
        <v>101</v>
      </c>
      <c r="AO7" s="1" t="s">
        <v>101</v>
      </c>
      <c r="AP7" s="1" t="s">
        <v>101</v>
      </c>
      <c r="AQ7" s="1" t="s">
        <v>101</v>
      </c>
      <c r="AR7" s="1" t="s">
        <v>101</v>
      </c>
      <c r="AS7" s="1" t="s">
        <v>101</v>
      </c>
      <c r="AT7" s="2" t="s">
        <v>144</v>
      </c>
      <c r="AU7" s="47">
        <f t="shared" ref="AU7:AU9" si="0">100*(AT$8-AT7)/AT$8</f>
        <v>97.135416666666657</v>
      </c>
      <c r="AV7" s="1" t="s">
        <v>101</v>
      </c>
      <c r="AW7" s="2" t="s">
        <v>238</v>
      </c>
    </row>
    <row r="8" spans="1:51" ht="27.75" customHeight="1" x14ac:dyDescent="0.35">
      <c r="A8" s="1">
        <v>1</v>
      </c>
      <c r="B8" s="2" t="s">
        <v>90</v>
      </c>
      <c r="C8" s="2" t="s">
        <v>91</v>
      </c>
      <c r="D8" s="2" t="s">
        <v>92</v>
      </c>
      <c r="E8" s="2" t="s">
        <v>108</v>
      </c>
      <c r="F8" s="2">
        <v>2</v>
      </c>
      <c r="G8" s="2" t="s">
        <v>486</v>
      </c>
      <c r="H8" s="2">
        <v>443</v>
      </c>
      <c r="I8" s="2">
        <v>192</v>
      </c>
      <c r="J8" s="2" t="s">
        <v>881</v>
      </c>
      <c r="K8" s="5">
        <v>40878</v>
      </c>
      <c r="L8" s="5">
        <v>41243</v>
      </c>
      <c r="M8" s="2" t="s">
        <v>110</v>
      </c>
      <c r="N8" s="47" t="s">
        <v>885</v>
      </c>
      <c r="O8" s="2" t="s">
        <v>107</v>
      </c>
      <c r="P8" s="47" t="s">
        <v>889</v>
      </c>
      <c r="Q8" s="26" t="s">
        <v>93</v>
      </c>
      <c r="R8" s="26">
        <v>3.7</v>
      </c>
      <c r="S8" s="1">
        <v>2.4E-2</v>
      </c>
      <c r="T8" s="1" t="s">
        <v>290</v>
      </c>
      <c r="U8" s="1">
        <v>0.01</v>
      </c>
      <c r="V8" s="2" t="s">
        <v>295</v>
      </c>
      <c r="W8" s="2" t="s">
        <v>95</v>
      </c>
      <c r="X8" s="47" t="s">
        <v>96</v>
      </c>
      <c r="Y8" s="2">
        <v>2012</v>
      </c>
      <c r="AA8" s="2" t="s">
        <v>98</v>
      </c>
      <c r="AB8" s="2" t="s">
        <v>226</v>
      </c>
      <c r="AC8" s="2" t="s">
        <v>899</v>
      </c>
      <c r="AD8" s="2" t="s">
        <v>100</v>
      </c>
      <c r="AE8" s="47" t="s">
        <v>909</v>
      </c>
      <c r="AF8" s="2" t="s">
        <v>99</v>
      </c>
      <c r="AG8" s="47" t="s">
        <v>966</v>
      </c>
      <c r="AH8" s="2" t="s">
        <v>106</v>
      </c>
      <c r="AI8" s="47"/>
      <c r="AK8" s="1" t="s">
        <v>101</v>
      </c>
      <c r="AL8" s="1" t="s">
        <v>101</v>
      </c>
      <c r="AM8" s="1" t="s">
        <v>101</v>
      </c>
      <c r="AN8" s="1" t="s">
        <v>101</v>
      </c>
      <c r="AO8" s="1" t="s">
        <v>101</v>
      </c>
      <c r="AP8" s="1" t="s">
        <v>101</v>
      </c>
      <c r="AQ8" s="1" t="s">
        <v>101</v>
      </c>
      <c r="AR8" s="1" t="s">
        <v>101</v>
      </c>
      <c r="AS8" s="1" t="s">
        <v>101</v>
      </c>
      <c r="AT8" s="2" t="s">
        <v>145</v>
      </c>
      <c r="AU8" s="47">
        <f t="shared" si="0"/>
        <v>0</v>
      </c>
      <c r="AV8" s="1" t="s">
        <v>101</v>
      </c>
      <c r="AW8" s="2" t="s">
        <v>238</v>
      </c>
    </row>
    <row r="9" spans="1:51" ht="27.75" customHeight="1" x14ac:dyDescent="0.35">
      <c r="A9" s="1">
        <v>1</v>
      </c>
      <c r="B9" s="2" t="s">
        <v>90</v>
      </c>
      <c r="C9" s="2" t="s">
        <v>91</v>
      </c>
      <c r="D9" s="2" t="s">
        <v>92</v>
      </c>
      <c r="E9" s="2" t="s">
        <v>108</v>
      </c>
      <c r="F9" s="2">
        <v>2</v>
      </c>
      <c r="G9" s="2" t="s">
        <v>486</v>
      </c>
      <c r="H9" s="2">
        <v>443</v>
      </c>
      <c r="I9" s="2">
        <v>192</v>
      </c>
      <c r="J9" s="2" t="s">
        <v>881</v>
      </c>
      <c r="K9" s="5">
        <v>40878</v>
      </c>
      <c r="L9" s="5">
        <v>41243</v>
      </c>
      <c r="M9" s="2" t="s">
        <v>110</v>
      </c>
      <c r="N9" s="47" t="s">
        <v>885</v>
      </c>
      <c r="O9" s="2" t="s">
        <v>107</v>
      </c>
      <c r="P9" s="47" t="s">
        <v>889</v>
      </c>
      <c r="Q9" s="26" t="s">
        <v>93</v>
      </c>
      <c r="R9" s="26">
        <v>3.7</v>
      </c>
      <c r="S9" s="1">
        <v>2.4E-2</v>
      </c>
      <c r="T9" s="1" t="s">
        <v>290</v>
      </c>
      <c r="U9" s="1">
        <v>0.01</v>
      </c>
      <c r="V9" s="2" t="s">
        <v>296</v>
      </c>
      <c r="W9" s="2" t="s">
        <v>95</v>
      </c>
      <c r="X9" s="47" t="s">
        <v>96</v>
      </c>
      <c r="Y9" s="2">
        <v>2012</v>
      </c>
      <c r="AA9" s="2" t="s">
        <v>98</v>
      </c>
      <c r="AB9" s="2" t="s">
        <v>226</v>
      </c>
      <c r="AC9" s="2" t="s">
        <v>899</v>
      </c>
      <c r="AD9" s="2" t="s">
        <v>100</v>
      </c>
      <c r="AE9" s="47" t="s">
        <v>909</v>
      </c>
      <c r="AF9" s="2" t="s">
        <v>99</v>
      </c>
      <c r="AG9" s="47" t="s">
        <v>966</v>
      </c>
      <c r="AH9" s="2" t="s">
        <v>104</v>
      </c>
      <c r="AI9" s="47" t="s">
        <v>906</v>
      </c>
      <c r="AJ9" s="2" t="s">
        <v>907</v>
      </c>
      <c r="AK9" s="1" t="s">
        <v>101</v>
      </c>
      <c r="AL9" s="1" t="s">
        <v>101</v>
      </c>
      <c r="AM9" s="1" t="s">
        <v>101</v>
      </c>
      <c r="AN9" s="1" t="s">
        <v>101</v>
      </c>
      <c r="AO9" s="1" t="s">
        <v>101</v>
      </c>
      <c r="AP9" s="1" t="s">
        <v>101</v>
      </c>
      <c r="AQ9" s="1" t="s">
        <v>101</v>
      </c>
      <c r="AR9" s="1" t="s">
        <v>101</v>
      </c>
      <c r="AS9" s="1" t="s">
        <v>101</v>
      </c>
      <c r="AT9" s="2" t="s">
        <v>146</v>
      </c>
      <c r="AU9" s="47">
        <f t="shared" si="0"/>
        <v>9.8958333333333268</v>
      </c>
      <c r="AV9" s="1" t="s">
        <v>101</v>
      </c>
      <c r="AW9" s="2" t="s">
        <v>238</v>
      </c>
    </row>
    <row r="10" spans="1:51" ht="27.75" customHeight="1" x14ac:dyDescent="0.35">
      <c r="A10" s="1">
        <v>1</v>
      </c>
      <c r="B10" s="2" t="s">
        <v>90</v>
      </c>
      <c r="C10" s="2" t="s">
        <v>91</v>
      </c>
      <c r="D10" s="2" t="s">
        <v>92</v>
      </c>
      <c r="E10" s="2" t="s">
        <v>108</v>
      </c>
      <c r="F10" s="2">
        <v>2</v>
      </c>
      <c r="G10" s="2" t="s">
        <v>486</v>
      </c>
      <c r="H10" s="2">
        <v>443</v>
      </c>
      <c r="I10" s="2">
        <v>192</v>
      </c>
      <c r="J10" s="2" t="s">
        <v>881</v>
      </c>
      <c r="K10" s="5">
        <v>41244</v>
      </c>
      <c r="L10" s="5">
        <v>41608</v>
      </c>
      <c r="M10" s="2" t="s">
        <v>111</v>
      </c>
      <c r="N10" s="47" t="s">
        <v>885</v>
      </c>
      <c r="O10" s="2" t="s">
        <v>107</v>
      </c>
      <c r="P10" s="47" t="s">
        <v>889</v>
      </c>
      <c r="Q10" s="26" t="s">
        <v>93</v>
      </c>
      <c r="R10" s="26">
        <v>4.1100000000000003</v>
      </c>
      <c r="S10" s="1">
        <v>0.02</v>
      </c>
      <c r="T10" s="1" t="s">
        <v>291</v>
      </c>
      <c r="U10" s="1">
        <v>0.02</v>
      </c>
      <c r="V10" s="2" t="s">
        <v>297</v>
      </c>
      <c r="W10" s="2" t="s">
        <v>95</v>
      </c>
      <c r="X10" s="47" t="s">
        <v>97</v>
      </c>
      <c r="Y10" s="2">
        <v>2013</v>
      </c>
      <c r="AA10" s="2" t="s">
        <v>98</v>
      </c>
      <c r="AB10" s="2" t="s">
        <v>226</v>
      </c>
      <c r="AC10" s="2" t="s">
        <v>899</v>
      </c>
      <c r="AD10" s="2" t="s">
        <v>100</v>
      </c>
      <c r="AE10" s="47" t="s">
        <v>1034</v>
      </c>
      <c r="AF10" s="2" t="s">
        <v>99</v>
      </c>
      <c r="AG10" s="47" t="s">
        <v>966</v>
      </c>
      <c r="AH10" s="2" t="s">
        <v>105</v>
      </c>
      <c r="AI10" s="47"/>
      <c r="AK10" s="1" t="s">
        <v>101</v>
      </c>
      <c r="AL10" s="1" t="s">
        <v>101</v>
      </c>
      <c r="AM10" s="1" t="s">
        <v>101</v>
      </c>
      <c r="AN10" s="1" t="s">
        <v>101</v>
      </c>
      <c r="AO10" s="1" t="s">
        <v>101</v>
      </c>
      <c r="AP10" s="1" t="s">
        <v>101</v>
      </c>
      <c r="AQ10" s="1" t="s">
        <v>101</v>
      </c>
      <c r="AR10" s="1" t="s">
        <v>101</v>
      </c>
      <c r="AS10" s="1" t="s">
        <v>101</v>
      </c>
      <c r="AT10" s="2" t="s">
        <v>147</v>
      </c>
      <c r="AU10" s="47">
        <f>100*(AT$12-AT10)/AT$12</f>
        <v>93.321299638989174</v>
      </c>
      <c r="AV10" s="1" t="s">
        <v>101</v>
      </c>
      <c r="AW10" s="2" t="s">
        <v>238</v>
      </c>
    </row>
    <row r="11" spans="1:51" ht="27.75" customHeight="1" x14ac:dyDescent="0.35">
      <c r="A11" s="1">
        <v>1</v>
      </c>
      <c r="B11" s="2" t="s">
        <v>90</v>
      </c>
      <c r="C11" s="2" t="s">
        <v>91</v>
      </c>
      <c r="D11" s="2" t="s">
        <v>92</v>
      </c>
      <c r="E11" s="2" t="s">
        <v>108</v>
      </c>
      <c r="F11" s="2">
        <v>2</v>
      </c>
      <c r="G11" s="2" t="s">
        <v>486</v>
      </c>
      <c r="H11" s="2">
        <v>443</v>
      </c>
      <c r="I11" s="2">
        <v>192</v>
      </c>
      <c r="J11" s="2" t="s">
        <v>881</v>
      </c>
      <c r="K11" s="5">
        <v>41244</v>
      </c>
      <c r="L11" s="5">
        <v>41608</v>
      </c>
      <c r="M11" s="2" t="s">
        <v>111</v>
      </c>
      <c r="N11" s="47" t="s">
        <v>885</v>
      </c>
      <c r="O11" s="2" t="s">
        <v>107</v>
      </c>
      <c r="P11" s="47" t="s">
        <v>889</v>
      </c>
      <c r="Q11" s="26" t="s">
        <v>93</v>
      </c>
      <c r="R11" s="26">
        <v>4.1100000000000003</v>
      </c>
      <c r="S11" s="1">
        <v>0.02</v>
      </c>
      <c r="T11" s="1" t="s">
        <v>291</v>
      </c>
      <c r="U11" s="1">
        <v>0.02</v>
      </c>
      <c r="V11" s="2" t="s">
        <v>297</v>
      </c>
      <c r="W11" s="2" t="s">
        <v>95</v>
      </c>
      <c r="X11" s="47" t="s">
        <v>97</v>
      </c>
      <c r="Y11" s="2">
        <v>2013</v>
      </c>
      <c r="AA11" s="2" t="s">
        <v>98</v>
      </c>
      <c r="AB11" s="2" t="s">
        <v>226</v>
      </c>
      <c r="AC11" s="2" t="s">
        <v>899</v>
      </c>
      <c r="AD11" s="2" t="s">
        <v>100</v>
      </c>
      <c r="AE11" s="47" t="s">
        <v>1034</v>
      </c>
      <c r="AF11" s="2" t="s">
        <v>99</v>
      </c>
      <c r="AG11" s="47" t="s">
        <v>966</v>
      </c>
      <c r="AH11" s="2" t="s">
        <v>103</v>
      </c>
      <c r="AI11" s="47" t="s">
        <v>906</v>
      </c>
      <c r="AJ11" s="2" t="s">
        <v>907</v>
      </c>
      <c r="AK11" s="1" t="s">
        <v>101</v>
      </c>
      <c r="AL11" s="1" t="s">
        <v>101</v>
      </c>
      <c r="AM11" s="1" t="s">
        <v>101</v>
      </c>
      <c r="AN11" s="1" t="s">
        <v>101</v>
      </c>
      <c r="AO11" s="1" t="s">
        <v>101</v>
      </c>
      <c r="AP11" s="1" t="s">
        <v>101</v>
      </c>
      <c r="AQ11" s="1" t="s">
        <v>101</v>
      </c>
      <c r="AR11" s="1" t="s">
        <v>101</v>
      </c>
      <c r="AS11" s="1" t="s">
        <v>101</v>
      </c>
      <c r="AT11" s="2" t="s">
        <v>141</v>
      </c>
      <c r="AU11" s="47">
        <f t="shared" ref="AU11:AU13" si="1">100*(AT$12-AT11)/AT$12</f>
        <v>97.111913357400724</v>
      </c>
      <c r="AV11" s="1" t="s">
        <v>101</v>
      </c>
      <c r="AW11" s="2" t="s">
        <v>238</v>
      </c>
    </row>
    <row r="12" spans="1:51" ht="27.75" customHeight="1" x14ac:dyDescent="0.35">
      <c r="A12" s="1">
        <v>1</v>
      </c>
      <c r="B12" s="2" t="s">
        <v>90</v>
      </c>
      <c r="C12" s="2" t="s">
        <v>91</v>
      </c>
      <c r="D12" s="2" t="s">
        <v>92</v>
      </c>
      <c r="E12" s="2" t="s">
        <v>108</v>
      </c>
      <c r="F12" s="2">
        <v>2</v>
      </c>
      <c r="G12" s="2" t="s">
        <v>486</v>
      </c>
      <c r="H12" s="2">
        <v>443</v>
      </c>
      <c r="I12" s="2">
        <v>192</v>
      </c>
      <c r="J12" s="2" t="s">
        <v>881</v>
      </c>
      <c r="K12" s="5">
        <v>41244</v>
      </c>
      <c r="L12" s="5">
        <v>41608</v>
      </c>
      <c r="M12" s="2" t="s">
        <v>111</v>
      </c>
      <c r="N12" s="47" t="s">
        <v>885</v>
      </c>
      <c r="O12" s="2" t="s">
        <v>107</v>
      </c>
      <c r="P12" s="47" t="s">
        <v>889</v>
      </c>
      <c r="Q12" s="26" t="s">
        <v>93</v>
      </c>
      <c r="R12" s="26">
        <v>4.1100000000000003</v>
      </c>
      <c r="S12" s="1">
        <v>0.02</v>
      </c>
      <c r="T12" s="1" t="s">
        <v>291</v>
      </c>
      <c r="U12" s="1">
        <v>0.02</v>
      </c>
      <c r="V12" s="2" t="s">
        <v>297</v>
      </c>
      <c r="W12" s="2" t="s">
        <v>95</v>
      </c>
      <c r="X12" s="47" t="s">
        <v>97</v>
      </c>
      <c r="Y12" s="2">
        <v>2013</v>
      </c>
      <c r="AA12" s="2" t="s">
        <v>98</v>
      </c>
      <c r="AB12" s="2" t="s">
        <v>226</v>
      </c>
      <c r="AC12" s="2" t="s">
        <v>899</v>
      </c>
      <c r="AD12" s="2" t="s">
        <v>100</v>
      </c>
      <c r="AE12" s="47" t="s">
        <v>909</v>
      </c>
      <c r="AF12" s="2" t="s">
        <v>99</v>
      </c>
      <c r="AG12" s="47" t="s">
        <v>966</v>
      </c>
      <c r="AH12" s="2" t="s">
        <v>106</v>
      </c>
      <c r="AI12" s="47"/>
      <c r="AK12" s="1" t="s">
        <v>101</v>
      </c>
      <c r="AL12" s="1" t="s">
        <v>101</v>
      </c>
      <c r="AM12" s="1" t="s">
        <v>101</v>
      </c>
      <c r="AN12" s="1" t="s">
        <v>101</v>
      </c>
      <c r="AO12" s="1" t="s">
        <v>101</v>
      </c>
      <c r="AP12" s="1" t="s">
        <v>101</v>
      </c>
      <c r="AQ12" s="1" t="s">
        <v>101</v>
      </c>
      <c r="AR12" s="1" t="s">
        <v>101</v>
      </c>
      <c r="AS12" s="1" t="s">
        <v>101</v>
      </c>
      <c r="AT12" s="2" t="s">
        <v>148</v>
      </c>
      <c r="AU12" s="47">
        <f t="shared" si="1"/>
        <v>0</v>
      </c>
      <c r="AV12" s="1" t="s">
        <v>101</v>
      </c>
      <c r="AW12" s="2" t="s">
        <v>238</v>
      </c>
    </row>
    <row r="13" spans="1:51" s="8" customFormat="1" ht="27.75" customHeight="1" thickBot="1" x14ac:dyDescent="0.4">
      <c r="A13" s="8">
        <v>1</v>
      </c>
      <c r="B13" s="11" t="s">
        <v>90</v>
      </c>
      <c r="C13" s="11" t="s">
        <v>91</v>
      </c>
      <c r="D13" s="11" t="s">
        <v>92</v>
      </c>
      <c r="E13" s="11" t="s">
        <v>108</v>
      </c>
      <c r="F13" s="11">
        <v>2</v>
      </c>
      <c r="G13" s="11" t="s">
        <v>486</v>
      </c>
      <c r="H13" s="2">
        <v>443</v>
      </c>
      <c r="I13" s="2">
        <v>192</v>
      </c>
      <c r="J13" s="2" t="s">
        <v>881</v>
      </c>
      <c r="K13" s="9">
        <v>41244</v>
      </c>
      <c r="L13" s="9">
        <v>41608</v>
      </c>
      <c r="M13" s="11" t="s">
        <v>111</v>
      </c>
      <c r="N13" s="47" t="s">
        <v>885</v>
      </c>
      <c r="O13" s="11" t="s">
        <v>107</v>
      </c>
      <c r="P13" s="47" t="s">
        <v>889</v>
      </c>
      <c r="Q13" s="27" t="s">
        <v>93</v>
      </c>
      <c r="R13" s="26">
        <v>4.1100000000000003</v>
      </c>
      <c r="S13" s="8">
        <v>0.02</v>
      </c>
      <c r="T13" s="8" t="s">
        <v>291</v>
      </c>
      <c r="U13" s="8">
        <v>0.02</v>
      </c>
      <c r="V13" s="11" t="s">
        <v>297</v>
      </c>
      <c r="W13" s="11" t="s">
        <v>95</v>
      </c>
      <c r="X13" s="49" t="s">
        <v>97</v>
      </c>
      <c r="Y13" s="11">
        <v>2013</v>
      </c>
      <c r="Z13" s="11"/>
      <c r="AA13" s="11" t="s">
        <v>98</v>
      </c>
      <c r="AB13" s="11" t="s">
        <v>226</v>
      </c>
      <c r="AC13" s="2" t="s">
        <v>899</v>
      </c>
      <c r="AD13" s="11" t="s">
        <v>100</v>
      </c>
      <c r="AE13" s="47" t="s">
        <v>1034</v>
      </c>
      <c r="AF13" s="2" t="s">
        <v>99</v>
      </c>
      <c r="AG13" s="47" t="s">
        <v>966</v>
      </c>
      <c r="AH13" s="11" t="s">
        <v>104</v>
      </c>
      <c r="AI13" s="47" t="s">
        <v>906</v>
      </c>
      <c r="AJ13" s="2" t="s">
        <v>907</v>
      </c>
      <c r="AK13" s="8" t="s">
        <v>101</v>
      </c>
      <c r="AL13" s="8" t="s">
        <v>101</v>
      </c>
      <c r="AM13" s="8" t="s">
        <v>101</v>
      </c>
      <c r="AN13" s="8" t="s">
        <v>101</v>
      </c>
      <c r="AO13" s="8" t="s">
        <v>101</v>
      </c>
      <c r="AP13" s="8" t="s">
        <v>101</v>
      </c>
      <c r="AQ13" s="8" t="s">
        <v>101</v>
      </c>
      <c r="AR13" s="8" t="s">
        <v>101</v>
      </c>
      <c r="AS13" s="8" t="s">
        <v>101</v>
      </c>
      <c r="AT13" s="11" t="s">
        <v>149</v>
      </c>
      <c r="AU13" s="47">
        <f t="shared" si="1"/>
        <v>28.158844765342966</v>
      </c>
      <c r="AV13" s="8" t="s">
        <v>101</v>
      </c>
      <c r="AW13" s="11" t="s">
        <v>238</v>
      </c>
    </row>
    <row r="14" spans="1:51" s="8" customFormat="1" ht="27.75" customHeight="1" thickTop="1" thickBot="1" x14ac:dyDescent="0.4">
      <c r="A14" s="8">
        <v>2</v>
      </c>
      <c r="B14" s="11" t="s">
        <v>112</v>
      </c>
      <c r="C14" s="11" t="s">
        <v>113</v>
      </c>
      <c r="D14" s="11" t="s">
        <v>114</v>
      </c>
      <c r="E14" s="11" t="s">
        <v>125</v>
      </c>
      <c r="F14" s="11" t="s">
        <v>101</v>
      </c>
      <c r="G14" s="11" t="s">
        <v>115</v>
      </c>
      <c r="H14" s="11"/>
      <c r="I14" s="11"/>
      <c r="J14" s="2" t="s">
        <v>881</v>
      </c>
      <c r="K14" s="9">
        <v>38869</v>
      </c>
      <c r="L14" s="9">
        <v>39418</v>
      </c>
      <c r="M14" s="11" t="s">
        <v>116</v>
      </c>
      <c r="N14" s="47" t="s">
        <v>885</v>
      </c>
      <c r="O14" s="11" t="s">
        <v>120</v>
      </c>
      <c r="P14" s="47" t="s">
        <v>889</v>
      </c>
      <c r="Q14" s="27" t="s">
        <v>93</v>
      </c>
      <c r="R14" s="27" t="s">
        <v>235</v>
      </c>
      <c r="S14" s="8" t="s">
        <v>101</v>
      </c>
      <c r="T14" s="8" t="s">
        <v>101</v>
      </c>
      <c r="U14" s="8" t="s">
        <v>101</v>
      </c>
      <c r="V14" s="8" t="s">
        <v>101</v>
      </c>
      <c r="W14" s="11" t="s">
        <v>119</v>
      </c>
      <c r="X14" s="49" t="s">
        <v>236</v>
      </c>
      <c r="Y14" s="17">
        <v>39125</v>
      </c>
      <c r="Z14" s="17"/>
      <c r="AA14" s="11" t="s">
        <v>117</v>
      </c>
      <c r="AB14" s="11" t="s">
        <v>118</v>
      </c>
      <c r="AC14" s="2" t="s">
        <v>899</v>
      </c>
      <c r="AD14" s="2" t="s">
        <v>408</v>
      </c>
      <c r="AE14" s="47" t="s">
        <v>408</v>
      </c>
      <c r="AF14" s="11" t="s">
        <v>408</v>
      </c>
      <c r="AG14" s="47" t="s">
        <v>966</v>
      </c>
      <c r="AH14" s="11" t="s">
        <v>911</v>
      </c>
      <c r="AI14" s="49" t="s">
        <v>911</v>
      </c>
      <c r="AJ14" s="11"/>
      <c r="AK14" s="8" t="s">
        <v>101</v>
      </c>
      <c r="AL14" s="8" t="s">
        <v>101</v>
      </c>
      <c r="AM14" s="8" t="s">
        <v>101</v>
      </c>
      <c r="AN14" s="8" t="s">
        <v>101</v>
      </c>
      <c r="AO14" s="8" t="s">
        <v>101</v>
      </c>
      <c r="AP14" s="20" t="s">
        <v>237</v>
      </c>
      <c r="AQ14" s="8" t="s">
        <v>101</v>
      </c>
      <c r="AR14" s="21" t="s">
        <v>233</v>
      </c>
      <c r="AS14" s="8" t="s">
        <v>101</v>
      </c>
      <c r="AT14" s="8">
        <f>100*(41.5-7.2)/41.5</f>
        <v>82.650602409638537</v>
      </c>
      <c r="AU14" s="27">
        <v>82.650602409638537</v>
      </c>
      <c r="AV14" s="8" t="s">
        <v>101</v>
      </c>
      <c r="AW14" s="11" t="s">
        <v>232</v>
      </c>
      <c r="AX14" s="11" t="s">
        <v>121</v>
      </c>
    </row>
    <row r="15" spans="1:51" ht="27.75" customHeight="1" thickTop="1" x14ac:dyDescent="0.35">
      <c r="A15" s="1">
        <v>3</v>
      </c>
      <c r="B15" s="2" t="s">
        <v>122</v>
      </c>
      <c r="C15" s="2" t="s">
        <v>123</v>
      </c>
      <c r="D15" s="2" t="s">
        <v>124</v>
      </c>
      <c r="E15" s="2" t="s">
        <v>126</v>
      </c>
      <c r="F15" s="2" t="s">
        <v>101</v>
      </c>
      <c r="G15" s="2" t="s">
        <v>127</v>
      </c>
      <c r="J15" s="2" t="s">
        <v>880</v>
      </c>
      <c r="K15" s="5" t="s">
        <v>130</v>
      </c>
      <c r="L15" s="5" t="s">
        <v>131</v>
      </c>
      <c r="M15" s="2" t="s">
        <v>134</v>
      </c>
      <c r="N15" s="47" t="s">
        <v>885</v>
      </c>
      <c r="O15" s="2" t="s">
        <v>129</v>
      </c>
      <c r="P15" s="47" t="s">
        <v>890</v>
      </c>
      <c r="Q15" s="26"/>
      <c r="R15" s="26" t="s">
        <v>101</v>
      </c>
      <c r="S15" s="1" t="s">
        <v>101</v>
      </c>
      <c r="T15" s="1" t="s">
        <v>101</v>
      </c>
      <c r="U15" s="1" t="s">
        <v>101</v>
      </c>
      <c r="V15" s="1" t="s">
        <v>101</v>
      </c>
      <c r="W15" s="2" t="s">
        <v>101</v>
      </c>
      <c r="X15" s="26"/>
      <c r="Y15" s="16" t="s">
        <v>136</v>
      </c>
      <c r="Z15" s="16"/>
      <c r="AA15" s="2" t="s">
        <v>135</v>
      </c>
      <c r="AB15" s="2" t="s">
        <v>128</v>
      </c>
      <c r="AC15" s="2" t="s">
        <v>899</v>
      </c>
      <c r="AD15" s="1" t="s">
        <v>101</v>
      </c>
      <c r="AE15" s="47" t="s">
        <v>408</v>
      </c>
      <c r="AF15" s="2" t="s">
        <v>101</v>
      </c>
      <c r="AG15" s="47" t="s">
        <v>966</v>
      </c>
      <c r="AH15" s="2" t="s">
        <v>912</v>
      </c>
      <c r="AI15" s="47"/>
      <c r="AK15" s="1" t="s">
        <v>101</v>
      </c>
      <c r="AL15" s="1" t="s">
        <v>101</v>
      </c>
      <c r="AM15" s="1" t="s">
        <v>101</v>
      </c>
      <c r="AN15" s="1" t="s">
        <v>101</v>
      </c>
      <c r="AO15" s="1">
        <v>13.2</v>
      </c>
      <c r="AP15" s="1" t="s">
        <v>101</v>
      </c>
      <c r="AQ15" s="1" t="s">
        <v>101</v>
      </c>
      <c r="AR15" s="1">
        <v>8.8000000000000007</v>
      </c>
      <c r="AS15" s="1" t="s">
        <v>101</v>
      </c>
      <c r="AT15" s="2">
        <v>33.299999999999997</v>
      </c>
      <c r="AU15" s="47">
        <v>33.299999999999997</v>
      </c>
      <c r="AV15" s="1" t="s">
        <v>101</v>
      </c>
      <c r="AW15" s="2" t="s">
        <v>231</v>
      </c>
      <c r="AX15" s="1" t="s">
        <v>137</v>
      </c>
      <c r="AY15" s="3" t="s">
        <v>913</v>
      </c>
    </row>
    <row r="16" spans="1:51" s="8" customFormat="1" ht="27.75" customHeight="1" thickBot="1" x14ac:dyDescent="0.4">
      <c r="A16" s="8">
        <v>3</v>
      </c>
      <c r="B16" s="11" t="s">
        <v>122</v>
      </c>
      <c r="C16" s="11" t="s">
        <v>123</v>
      </c>
      <c r="D16" s="11" t="s">
        <v>124</v>
      </c>
      <c r="E16" s="11" t="s">
        <v>126</v>
      </c>
      <c r="F16" s="11" t="s">
        <v>101</v>
      </c>
      <c r="G16" s="11" t="s">
        <v>127</v>
      </c>
      <c r="H16" s="11"/>
      <c r="I16" s="11"/>
      <c r="J16" s="2" t="s">
        <v>880</v>
      </c>
      <c r="K16" s="9" t="s">
        <v>132</v>
      </c>
      <c r="L16" s="9" t="s">
        <v>133</v>
      </c>
      <c r="M16" s="11" t="s">
        <v>134</v>
      </c>
      <c r="N16" s="47" t="s">
        <v>885</v>
      </c>
      <c r="O16" s="11" t="s">
        <v>129</v>
      </c>
      <c r="P16" s="47" t="s">
        <v>890</v>
      </c>
      <c r="Q16" s="27"/>
      <c r="R16" s="27" t="s">
        <v>101</v>
      </c>
      <c r="S16" s="8" t="s">
        <v>101</v>
      </c>
      <c r="T16" s="8" t="s">
        <v>101</v>
      </c>
      <c r="U16" s="8" t="s">
        <v>101</v>
      </c>
      <c r="V16" s="8" t="s">
        <v>101</v>
      </c>
      <c r="W16" s="11" t="s">
        <v>101</v>
      </c>
      <c r="X16" s="27"/>
      <c r="Y16" s="19" t="s">
        <v>136</v>
      </c>
      <c r="Z16" s="19"/>
      <c r="AA16" s="11" t="s">
        <v>135</v>
      </c>
      <c r="AB16" s="11" t="s">
        <v>128</v>
      </c>
      <c r="AC16" s="2" t="s">
        <v>899</v>
      </c>
      <c r="AD16" s="8" t="s">
        <v>101</v>
      </c>
      <c r="AE16" s="47" t="s">
        <v>408</v>
      </c>
      <c r="AF16" s="11" t="s">
        <v>101</v>
      </c>
      <c r="AG16" s="47" t="s">
        <v>966</v>
      </c>
      <c r="AH16" s="11" t="s">
        <v>912</v>
      </c>
      <c r="AI16" s="49"/>
      <c r="AJ16" s="11"/>
      <c r="AK16" s="8" t="s">
        <v>101</v>
      </c>
      <c r="AL16" s="8" t="s">
        <v>101</v>
      </c>
      <c r="AM16" s="8" t="s">
        <v>101</v>
      </c>
      <c r="AN16" s="8" t="s">
        <v>101</v>
      </c>
      <c r="AO16" s="8">
        <v>12.1</v>
      </c>
      <c r="AP16" s="8" t="s">
        <v>101</v>
      </c>
      <c r="AQ16" s="8" t="s">
        <v>101</v>
      </c>
      <c r="AR16" s="8">
        <v>7.16</v>
      </c>
      <c r="AS16" s="8" t="s">
        <v>101</v>
      </c>
      <c r="AT16" s="11">
        <v>37.200000000000003</v>
      </c>
      <c r="AU16" s="49">
        <v>37.200000000000003</v>
      </c>
      <c r="AV16" s="8" t="s">
        <v>101</v>
      </c>
      <c r="AW16" s="11" t="s">
        <v>231</v>
      </c>
      <c r="AX16" s="8" t="s">
        <v>137</v>
      </c>
    </row>
    <row r="17" spans="1:51" ht="27.75" customHeight="1" thickTop="1" x14ac:dyDescent="0.35">
      <c r="A17" s="1">
        <v>5</v>
      </c>
      <c r="B17" s="2" t="s">
        <v>150</v>
      </c>
      <c r="C17" s="2" t="s">
        <v>151</v>
      </c>
      <c r="D17" s="2" t="s">
        <v>160</v>
      </c>
      <c r="E17" s="2" t="s">
        <v>161</v>
      </c>
      <c r="F17" s="2" t="s">
        <v>153</v>
      </c>
      <c r="G17" s="2" t="s">
        <v>101</v>
      </c>
      <c r="K17" s="5" t="s">
        <v>152</v>
      </c>
      <c r="L17" s="5" t="s">
        <v>162</v>
      </c>
      <c r="M17" s="2" t="s">
        <v>164</v>
      </c>
      <c r="N17" s="47" t="s">
        <v>884</v>
      </c>
      <c r="O17" s="2" t="s">
        <v>156</v>
      </c>
      <c r="P17" s="47" t="s">
        <v>534</v>
      </c>
      <c r="Q17" s="26" t="s">
        <v>93</v>
      </c>
      <c r="R17" s="26" t="s">
        <v>101</v>
      </c>
      <c r="S17" s="1" t="s">
        <v>101</v>
      </c>
      <c r="T17" s="1" t="s">
        <v>101</v>
      </c>
      <c r="U17" s="1" t="s">
        <v>101</v>
      </c>
      <c r="V17" s="1" t="s">
        <v>158</v>
      </c>
      <c r="W17" s="2" t="s">
        <v>230</v>
      </c>
      <c r="X17" s="47">
        <v>655</v>
      </c>
      <c r="Y17" s="2" t="s">
        <v>163</v>
      </c>
      <c r="AA17" s="2" t="s">
        <v>159</v>
      </c>
      <c r="AB17" s="2" t="s">
        <v>157</v>
      </c>
      <c r="AC17" s="2" t="s">
        <v>683</v>
      </c>
      <c r="AD17" s="2" t="s">
        <v>155</v>
      </c>
      <c r="AE17" s="47" t="s">
        <v>208</v>
      </c>
      <c r="AF17" s="2" t="s">
        <v>154</v>
      </c>
      <c r="AG17" s="47" t="s">
        <v>936</v>
      </c>
      <c r="AH17" s="2" t="s">
        <v>914</v>
      </c>
      <c r="AI17" s="47"/>
      <c r="AK17" s="1" t="s">
        <v>101</v>
      </c>
      <c r="AL17" s="1" t="s">
        <v>101</v>
      </c>
      <c r="AM17" s="1" t="s">
        <v>101</v>
      </c>
      <c r="AN17" s="1" t="s">
        <v>101</v>
      </c>
      <c r="AO17" s="1">
        <v>0.83</v>
      </c>
      <c r="AP17" s="1" t="s">
        <v>101</v>
      </c>
      <c r="AQ17" s="1" t="s">
        <v>101</v>
      </c>
      <c r="AR17" s="1">
        <v>0.27</v>
      </c>
      <c r="AS17" s="1" t="s">
        <v>101</v>
      </c>
      <c r="AT17" s="2">
        <v>68</v>
      </c>
      <c r="AU17" s="47">
        <v>68</v>
      </c>
      <c r="AV17" s="1" t="s">
        <v>101</v>
      </c>
      <c r="AW17" s="2" t="s">
        <v>229</v>
      </c>
      <c r="AY17" s="3" t="s">
        <v>915</v>
      </c>
    </row>
    <row r="18" spans="1:51" s="8" customFormat="1" ht="27.75" customHeight="1" thickBot="1" x14ac:dyDescent="0.4">
      <c r="A18" s="8">
        <v>7</v>
      </c>
      <c r="B18" s="11" t="s">
        <v>165</v>
      </c>
      <c r="C18" s="11" t="s">
        <v>166</v>
      </c>
      <c r="D18" s="11" t="s">
        <v>92</v>
      </c>
      <c r="E18" s="11" t="s">
        <v>170</v>
      </c>
      <c r="F18" s="11" t="s">
        <v>101</v>
      </c>
      <c r="G18" s="11" t="s">
        <v>169</v>
      </c>
      <c r="H18" s="11"/>
      <c r="I18" s="11"/>
      <c r="J18" s="2" t="s">
        <v>881</v>
      </c>
      <c r="K18" s="9" t="s">
        <v>168</v>
      </c>
      <c r="L18" s="17" t="s">
        <v>176</v>
      </c>
      <c r="M18" s="11" t="s">
        <v>174</v>
      </c>
      <c r="N18" s="47" t="s">
        <v>886</v>
      </c>
      <c r="O18" s="11" t="s">
        <v>167</v>
      </c>
      <c r="P18" s="47" t="s">
        <v>889</v>
      </c>
      <c r="Q18" s="27" t="s">
        <v>93</v>
      </c>
      <c r="R18" s="27">
        <v>48</v>
      </c>
      <c r="S18" s="8" t="s">
        <v>101</v>
      </c>
      <c r="T18" s="8" t="s">
        <v>101</v>
      </c>
      <c r="U18" s="8" t="s">
        <v>101</v>
      </c>
      <c r="V18" s="8" t="s">
        <v>101</v>
      </c>
      <c r="W18" s="11">
        <v>10</v>
      </c>
      <c r="X18" s="49" t="s">
        <v>101</v>
      </c>
      <c r="Y18" s="11" t="s">
        <v>177</v>
      </c>
      <c r="Z18" s="11"/>
      <c r="AA18" s="11" t="s">
        <v>175</v>
      </c>
      <c r="AB18" s="11" t="s">
        <v>173</v>
      </c>
      <c r="AC18" s="2" t="s">
        <v>899</v>
      </c>
      <c r="AD18" s="11" t="s">
        <v>172</v>
      </c>
      <c r="AE18" s="49" t="s">
        <v>916</v>
      </c>
      <c r="AF18" s="11" t="s">
        <v>171</v>
      </c>
      <c r="AG18" s="47" t="s">
        <v>966</v>
      </c>
      <c r="AH18" s="11" t="s">
        <v>101</v>
      </c>
      <c r="AI18" s="49"/>
      <c r="AJ18" s="11"/>
      <c r="AK18" s="11" t="s">
        <v>101</v>
      </c>
      <c r="AL18" s="11" t="s">
        <v>101</v>
      </c>
      <c r="AM18" s="11" t="s">
        <v>101</v>
      </c>
      <c r="AN18" s="11" t="s">
        <v>101</v>
      </c>
      <c r="AO18" s="11">
        <v>143</v>
      </c>
      <c r="AP18" s="11" t="s">
        <v>101</v>
      </c>
      <c r="AQ18" s="11" t="s">
        <v>101</v>
      </c>
      <c r="AR18" s="8">
        <v>83</v>
      </c>
      <c r="AS18" s="8" t="s">
        <v>101</v>
      </c>
      <c r="AT18" s="11">
        <v>41</v>
      </c>
      <c r="AU18" s="49">
        <v>41</v>
      </c>
      <c r="AV18" s="8" t="s">
        <v>101</v>
      </c>
      <c r="AW18" s="11" t="s">
        <v>228</v>
      </c>
    </row>
    <row r="19" spans="1:51" ht="27.75" customHeight="1" thickTop="1" x14ac:dyDescent="0.35">
      <c r="A19" s="1">
        <v>8</v>
      </c>
      <c r="B19" s="2" t="s">
        <v>178</v>
      </c>
      <c r="C19" s="2" t="s">
        <v>179</v>
      </c>
      <c r="D19" s="2" t="s">
        <v>181</v>
      </c>
      <c r="E19" s="28" t="s">
        <v>867</v>
      </c>
      <c r="F19" s="2" t="s">
        <v>101</v>
      </c>
      <c r="G19" s="2" t="s">
        <v>183</v>
      </c>
      <c r="J19" s="2" t="s">
        <v>881</v>
      </c>
      <c r="K19" s="5">
        <v>38838</v>
      </c>
      <c r="L19" s="5">
        <v>39967</v>
      </c>
      <c r="M19" s="2" t="s">
        <v>182</v>
      </c>
      <c r="N19" s="47" t="s">
        <v>884</v>
      </c>
      <c r="O19" s="2" t="s">
        <v>184</v>
      </c>
      <c r="P19" s="47" t="s">
        <v>534</v>
      </c>
      <c r="Q19" s="26" t="s">
        <v>93</v>
      </c>
      <c r="R19" s="26">
        <v>9.6</v>
      </c>
      <c r="S19" s="1" t="s">
        <v>101</v>
      </c>
      <c r="T19" s="1" t="s">
        <v>101</v>
      </c>
      <c r="U19" s="1" t="s">
        <v>101</v>
      </c>
      <c r="V19" s="1">
        <v>6.85</v>
      </c>
      <c r="W19" s="2">
        <v>56000</v>
      </c>
      <c r="X19" s="47" t="s">
        <v>101</v>
      </c>
      <c r="Y19" s="15" t="s">
        <v>239</v>
      </c>
      <c r="Z19" s="15"/>
      <c r="AA19" s="2" t="s">
        <v>186</v>
      </c>
      <c r="AB19" s="2" t="s">
        <v>185</v>
      </c>
      <c r="AC19" s="2" t="s">
        <v>846</v>
      </c>
      <c r="AD19" s="2" t="s">
        <v>187</v>
      </c>
      <c r="AE19" s="47" t="s">
        <v>1035</v>
      </c>
      <c r="AF19" s="2" t="s">
        <v>189</v>
      </c>
      <c r="AG19" s="47" t="s">
        <v>966</v>
      </c>
      <c r="AH19" s="2" t="s">
        <v>101</v>
      </c>
      <c r="AI19" s="47"/>
      <c r="AK19" s="2" t="s">
        <v>101</v>
      </c>
      <c r="AL19" s="2" t="s">
        <v>101</v>
      </c>
      <c r="AM19" s="2" t="s">
        <v>101</v>
      </c>
      <c r="AN19" s="2" t="s">
        <v>101</v>
      </c>
      <c r="AO19" s="1">
        <v>63</v>
      </c>
      <c r="AP19" s="2" t="s">
        <v>101</v>
      </c>
      <c r="AQ19" s="2" t="s">
        <v>101</v>
      </c>
      <c r="AR19" s="1">
        <v>5</v>
      </c>
      <c r="AS19" s="1" t="s">
        <v>197</v>
      </c>
      <c r="AT19" s="2">
        <v>91</v>
      </c>
      <c r="AU19" s="47">
        <v>91</v>
      </c>
      <c r="AV19" s="1" t="s">
        <v>101</v>
      </c>
      <c r="AW19" s="2" t="s">
        <v>227</v>
      </c>
      <c r="AX19" s="1" t="s">
        <v>195</v>
      </c>
    </row>
    <row r="20" spans="1:51" ht="27.75" customHeight="1" x14ac:dyDescent="0.35">
      <c r="A20" s="1">
        <v>8</v>
      </c>
      <c r="B20" s="2" t="s">
        <v>178</v>
      </c>
      <c r="C20" s="2" t="s">
        <v>179</v>
      </c>
      <c r="D20" s="2" t="s">
        <v>181</v>
      </c>
      <c r="E20" s="28" t="s">
        <v>867</v>
      </c>
      <c r="F20" s="2" t="s">
        <v>101</v>
      </c>
      <c r="G20" s="2" t="s">
        <v>183</v>
      </c>
      <c r="J20" s="2" t="s">
        <v>881</v>
      </c>
      <c r="K20" s="5">
        <v>38838</v>
      </c>
      <c r="L20" s="5">
        <v>39967</v>
      </c>
      <c r="M20" s="2" t="s">
        <v>182</v>
      </c>
      <c r="N20" s="47" t="s">
        <v>884</v>
      </c>
      <c r="O20" s="2" t="s">
        <v>184</v>
      </c>
      <c r="P20" s="47" t="s">
        <v>534</v>
      </c>
      <c r="Q20" s="26" t="s">
        <v>93</v>
      </c>
      <c r="R20" s="26">
        <v>9.6</v>
      </c>
      <c r="S20" s="1" t="s">
        <v>101</v>
      </c>
      <c r="T20" s="1" t="s">
        <v>101</v>
      </c>
      <c r="U20" s="1" t="s">
        <v>101</v>
      </c>
      <c r="V20" s="1">
        <v>6.85</v>
      </c>
      <c r="W20" s="2">
        <v>56000</v>
      </c>
      <c r="X20" s="47" t="s">
        <v>101</v>
      </c>
      <c r="Y20" s="15" t="s">
        <v>239</v>
      </c>
      <c r="Z20" s="15"/>
      <c r="AA20" s="2" t="s">
        <v>186</v>
      </c>
      <c r="AB20" s="2" t="s">
        <v>185</v>
      </c>
      <c r="AC20" s="2" t="s">
        <v>846</v>
      </c>
      <c r="AD20" s="2" t="s">
        <v>188</v>
      </c>
      <c r="AE20" s="47" t="s">
        <v>917</v>
      </c>
      <c r="AF20" s="2" t="s">
        <v>189</v>
      </c>
      <c r="AG20" s="47" t="s">
        <v>966</v>
      </c>
      <c r="AH20" s="2" t="s">
        <v>101</v>
      </c>
      <c r="AI20" s="47"/>
      <c r="AK20" s="2" t="s">
        <v>101</v>
      </c>
      <c r="AL20" s="2" t="s">
        <v>101</v>
      </c>
      <c r="AM20" s="2" t="s">
        <v>101</v>
      </c>
      <c r="AN20" s="2" t="s">
        <v>101</v>
      </c>
      <c r="AO20" s="1">
        <v>63</v>
      </c>
      <c r="AP20" s="2" t="s">
        <v>101</v>
      </c>
      <c r="AQ20" s="2" t="s">
        <v>101</v>
      </c>
      <c r="AR20" s="1">
        <v>78</v>
      </c>
      <c r="AS20" s="1">
        <v>27</v>
      </c>
      <c r="AT20" s="2">
        <v>25</v>
      </c>
      <c r="AU20" s="47">
        <v>25</v>
      </c>
      <c r="AV20" s="1" t="s">
        <v>101</v>
      </c>
      <c r="AW20" s="2" t="s">
        <v>227</v>
      </c>
    </row>
    <row r="21" spans="1:51" ht="27.75" customHeight="1" x14ac:dyDescent="0.35">
      <c r="A21" s="1">
        <v>8</v>
      </c>
      <c r="B21" s="2" t="s">
        <v>178</v>
      </c>
      <c r="C21" s="2" t="s">
        <v>179</v>
      </c>
      <c r="D21" s="2" t="s">
        <v>181</v>
      </c>
      <c r="E21" s="28" t="s">
        <v>867</v>
      </c>
      <c r="F21" s="2" t="s">
        <v>101</v>
      </c>
      <c r="G21" s="2" t="s">
        <v>183</v>
      </c>
      <c r="J21" s="2" t="s">
        <v>881</v>
      </c>
      <c r="K21" s="5">
        <v>38838</v>
      </c>
      <c r="L21" s="5">
        <v>39967</v>
      </c>
      <c r="M21" s="2" t="s">
        <v>182</v>
      </c>
      <c r="N21" s="47" t="s">
        <v>884</v>
      </c>
      <c r="O21" s="2" t="s">
        <v>184</v>
      </c>
      <c r="P21" s="47" t="s">
        <v>534</v>
      </c>
      <c r="Q21" s="26" t="s">
        <v>93</v>
      </c>
      <c r="R21" s="26">
        <v>9.6</v>
      </c>
      <c r="S21" s="1" t="s">
        <v>101</v>
      </c>
      <c r="T21" s="1" t="s">
        <v>101</v>
      </c>
      <c r="U21" s="1" t="s">
        <v>101</v>
      </c>
      <c r="V21" s="1">
        <v>6.85</v>
      </c>
      <c r="W21" s="2">
        <v>56000</v>
      </c>
      <c r="X21" s="47" t="s">
        <v>101</v>
      </c>
      <c r="Y21" s="15" t="s">
        <v>239</v>
      </c>
      <c r="Z21" s="15"/>
      <c r="AA21" s="2" t="s">
        <v>186</v>
      </c>
      <c r="AB21" s="2" t="s">
        <v>185</v>
      </c>
      <c r="AC21" s="2" t="s">
        <v>846</v>
      </c>
      <c r="AD21" s="2" t="s">
        <v>190</v>
      </c>
      <c r="AE21" s="47" t="s">
        <v>916</v>
      </c>
      <c r="AF21" s="2" t="s">
        <v>189</v>
      </c>
      <c r="AG21" s="47" t="s">
        <v>966</v>
      </c>
      <c r="AH21" s="2" t="s">
        <v>101</v>
      </c>
      <c r="AI21" s="47"/>
      <c r="AK21" s="2" t="s">
        <v>101</v>
      </c>
      <c r="AL21" s="2" t="s">
        <v>101</v>
      </c>
      <c r="AM21" s="2" t="s">
        <v>101</v>
      </c>
      <c r="AN21" s="2" t="s">
        <v>101</v>
      </c>
      <c r="AO21" s="1">
        <v>63</v>
      </c>
      <c r="AP21" s="2" t="s">
        <v>101</v>
      </c>
      <c r="AQ21" s="2" t="s">
        <v>101</v>
      </c>
      <c r="AR21" s="1">
        <v>12</v>
      </c>
      <c r="AS21" s="1">
        <v>2</v>
      </c>
      <c r="AT21" s="2">
        <v>82</v>
      </c>
      <c r="AU21" s="47">
        <v>82</v>
      </c>
      <c r="AV21" s="1" t="s">
        <v>101</v>
      </c>
      <c r="AW21" s="2" t="s">
        <v>227</v>
      </c>
      <c r="AX21" s="1" t="s">
        <v>196</v>
      </c>
    </row>
    <row r="22" spans="1:51" ht="27.75" customHeight="1" x14ac:dyDescent="0.35">
      <c r="A22" s="1">
        <v>8</v>
      </c>
      <c r="B22" s="2" t="s">
        <v>178</v>
      </c>
      <c r="C22" s="2" t="s">
        <v>179</v>
      </c>
      <c r="D22" s="2" t="s">
        <v>181</v>
      </c>
      <c r="E22" s="28" t="s">
        <v>867</v>
      </c>
      <c r="F22" s="2" t="s">
        <v>101</v>
      </c>
      <c r="G22" s="2" t="s">
        <v>183</v>
      </c>
      <c r="J22" s="2" t="s">
        <v>881</v>
      </c>
      <c r="K22" s="5">
        <v>38838</v>
      </c>
      <c r="L22" s="5">
        <v>39967</v>
      </c>
      <c r="M22" s="2" t="s">
        <v>182</v>
      </c>
      <c r="N22" s="47" t="s">
        <v>884</v>
      </c>
      <c r="O22" s="2" t="s">
        <v>184</v>
      </c>
      <c r="P22" s="47" t="s">
        <v>534</v>
      </c>
      <c r="Q22" s="26" t="s">
        <v>93</v>
      </c>
      <c r="R22" s="26">
        <v>9.1</v>
      </c>
      <c r="S22" s="1" t="s">
        <v>101</v>
      </c>
      <c r="T22" s="1" t="s">
        <v>101</v>
      </c>
      <c r="U22" s="1" t="s">
        <v>101</v>
      </c>
      <c r="V22" s="1">
        <v>7.1</v>
      </c>
      <c r="W22" s="2">
        <v>56000</v>
      </c>
      <c r="X22" s="47" t="s">
        <v>101</v>
      </c>
      <c r="Y22" s="15" t="s">
        <v>240</v>
      </c>
      <c r="Z22" s="15"/>
      <c r="AA22" s="2" t="s">
        <v>186</v>
      </c>
      <c r="AB22" s="2" t="s">
        <v>185</v>
      </c>
      <c r="AC22" s="2" t="s">
        <v>846</v>
      </c>
      <c r="AD22" s="2" t="s">
        <v>187</v>
      </c>
      <c r="AE22" s="47" t="s">
        <v>1035</v>
      </c>
      <c r="AF22" s="2" t="s">
        <v>189</v>
      </c>
      <c r="AG22" s="47" t="s">
        <v>966</v>
      </c>
      <c r="AH22" s="2" t="s">
        <v>101</v>
      </c>
      <c r="AI22" s="47"/>
      <c r="AK22" s="2" t="s">
        <v>101</v>
      </c>
      <c r="AL22" s="2" t="s">
        <v>101</v>
      </c>
      <c r="AM22" s="2" t="s">
        <v>101</v>
      </c>
      <c r="AN22" s="2" t="s">
        <v>101</v>
      </c>
      <c r="AO22" s="1">
        <v>62</v>
      </c>
      <c r="AP22" s="2" t="s">
        <v>101</v>
      </c>
      <c r="AQ22" s="2" t="s">
        <v>101</v>
      </c>
      <c r="AR22" s="1" t="s">
        <v>197</v>
      </c>
      <c r="AS22" s="1" t="s">
        <v>197</v>
      </c>
      <c r="AT22" s="2">
        <v>99</v>
      </c>
      <c r="AU22" s="47">
        <v>99</v>
      </c>
      <c r="AV22" s="1" t="s">
        <v>101</v>
      </c>
      <c r="AW22" s="2" t="s">
        <v>227</v>
      </c>
    </row>
    <row r="23" spans="1:51" ht="27.75" customHeight="1" x14ac:dyDescent="0.35">
      <c r="A23" s="1">
        <v>8</v>
      </c>
      <c r="B23" s="2" t="s">
        <v>178</v>
      </c>
      <c r="C23" s="2" t="s">
        <v>179</v>
      </c>
      <c r="D23" s="2" t="s">
        <v>181</v>
      </c>
      <c r="E23" s="28" t="s">
        <v>867</v>
      </c>
      <c r="F23" s="2" t="s">
        <v>101</v>
      </c>
      <c r="G23" s="2" t="s">
        <v>183</v>
      </c>
      <c r="J23" s="2" t="s">
        <v>881</v>
      </c>
      <c r="K23" s="5">
        <v>38838</v>
      </c>
      <c r="L23" s="5">
        <v>39967</v>
      </c>
      <c r="M23" s="2" t="s">
        <v>182</v>
      </c>
      <c r="N23" s="47" t="s">
        <v>884</v>
      </c>
      <c r="O23" s="2" t="s">
        <v>184</v>
      </c>
      <c r="P23" s="47" t="s">
        <v>534</v>
      </c>
      <c r="Q23" s="26" t="s">
        <v>93</v>
      </c>
      <c r="R23" s="26">
        <v>9.1</v>
      </c>
      <c r="S23" s="1" t="s">
        <v>101</v>
      </c>
      <c r="T23" s="1" t="s">
        <v>101</v>
      </c>
      <c r="U23" s="1" t="s">
        <v>101</v>
      </c>
      <c r="V23" s="1">
        <v>7.1</v>
      </c>
      <c r="W23" s="2">
        <v>56000</v>
      </c>
      <c r="X23" s="47" t="s">
        <v>101</v>
      </c>
      <c r="Y23" s="15" t="s">
        <v>240</v>
      </c>
      <c r="Z23" s="15"/>
      <c r="AA23" s="2" t="s">
        <v>186</v>
      </c>
      <c r="AB23" s="2" t="s">
        <v>185</v>
      </c>
      <c r="AC23" s="2" t="s">
        <v>846</v>
      </c>
      <c r="AD23" s="2" t="s">
        <v>191</v>
      </c>
      <c r="AE23" s="47" t="s">
        <v>917</v>
      </c>
      <c r="AF23" s="2" t="s">
        <v>189</v>
      </c>
      <c r="AG23" s="47" t="s">
        <v>966</v>
      </c>
      <c r="AH23" s="2" t="s">
        <v>101</v>
      </c>
      <c r="AI23" s="47"/>
      <c r="AK23" s="2" t="s">
        <v>101</v>
      </c>
      <c r="AL23" s="2" t="s">
        <v>101</v>
      </c>
      <c r="AM23" s="2" t="s">
        <v>101</v>
      </c>
      <c r="AN23" s="2" t="s">
        <v>101</v>
      </c>
      <c r="AO23" s="1">
        <v>62</v>
      </c>
      <c r="AP23" s="2" t="s">
        <v>101</v>
      </c>
      <c r="AQ23" s="2" t="s">
        <v>101</v>
      </c>
      <c r="AR23" s="1">
        <v>19</v>
      </c>
      <c r="AS23" s="1">
        <v>13</v>
      </c>
      <c r="AT23" s="2">
        <v>70</v>
      </c>
      <c r="AU23" s="47">
        <v>70</v>
      </c>
      <c r="AV23" s="1" t="s">
        <v>101</v>
      </c>
      <c r="AW23" s="2" t="s">
        <v>227</v>
      </c>
    </row>
    <row r="24" spans="1:51" ht="27.75" customHeight="1" x14ac:dyDescent="0.35">
      <c r="A24" s="1">
        <v>8</v>
      </c>
      <c r="B24" s="2" t="s">
        <v>178</v>
      </c>
      <c r="C24" s="2" t="s">
        <v>179</v>
      </c>
      <c r="D24" s="2" t="s">
        <v>181</v>
      </c>
      <c r="E24" s="28" t="s">
        <v>867</v>
      </c>
      <c r="F24" s="2" t="s">
        <v>101</v>
      </c>
      <c r="G24" s="2" t="s">
        <v>183</v>
      </c>
      <c r="J24" s="2" t="s">
        <v>881</v>
      </c>
      <c r="K24" s="5">
        <v>38838</v>
      </c>
      <c r="L24" s="5">
        <v>39967</v>
      </c>
      <c r="M24" s="2" t="s">
        <v>182</v>
      </c>
      <c r="N24" s="47" t="s">
        <v>884</v>
      </c>
      <c r="O24" s="2" t="s">
        <v>184</v>
      </c>
      <c r="P24" s="47" t="s">
        <v>534</v>
      </c>
      <c r="Q24" s="26" t="s">
        <v>93</v>
      </c>
      <c r="R24" s="26">
        <v>9.1</v>
      </c>
      <c r="S24" s="1" t="s">
        <v>101</v>
      </c>
      <c r="T24" s="1" t="s">
        <v>101</v>
      </c>
      <c r="U24" s="1" t="s">
        <v>101</v>
      </c>
      <c r="V24" s="1">
        <v>7.1</v>
      </c>
      <c r="W24" s="2">
        <v>56000</v>
      </c>
      <c r="X24" s="47" t="s">
        <v>101</v>
      </c>
      <c r="Y24" s="15" t="s">
        <v>240</v>
      </c>
      <c r="Z24" s="15"/>
      <c r="AA24" s="2" t="s">
        <v>186</v>
      </c>
      <c r="AB24" s="2" t="s">
        <v>185</v>
      </c>
      <c r="AC24" s="2" t="s">
        <v>846</v>
      </c>
      <c r="AD24" s="2" t="s">
        <v>190</v>
      </c>
      <c r="AE24" s="47" t="s">
        <v>916</v>
      </c>
      <c r="AF24" s="2" t="s">
        <v>189</v>
      </c>
      <c r="AG24" s="47" t="s">
        <v>966</v>
      </c>
      <c r="AH24" s="2" t="s">
        <v>101</v>
      </c>
      <c r="AI24" s="47"/>
      <c r="AK24" s="2" t="s">
        <v>101</v>
      </c>
      <c r="AL24" s="2" t="s">
        <v>101</v>
      </c>
      <c r="AM24" s="2" t="s">
        <v>101</v>
      </c>
      <c r="AN24" s="2" t="s">
        <v>101</v>
      </c>
      <c r="AO24" s="1">
        <v>62</v>
      </c>
      <c r="AP24" s="2" t="s">
        <v>101</v>
      </c>
      <c r="AQ24" s="2" t="s">
        <v>101</v>
      </c>
      <c r="AR24" s="1">
        <v>11</v>
      </c>
      <c r="AS24" s="1">
        <v>11</v>
      </c>
      <c r="AT24" s="2">
        <v>52</v>
      </c>
      <c r="AU24" s="47">
        <v>52</v>
      </c>
      <c r="AV24" s="1" t="s">
        <v>101</v>
      </c>
      <c r="AW24" s="2" t="s">
        <v>227</v>
      </c>
    </row>
    <row r="25" spans="1:51" ht="27.75" customHeight="1" x14ac:dyDescent="0.35">
      <c r="A25" s="1">
        <v>8</v>
      </c>
      <c r="B25" s="2" t="s">
        <v>178</v>
      </c>
      <c r="C25" s="2" t="s">
        <v>179</v>
      </c>
      <c r="D25" s="2" t="s">
        <v>181</v>
      </c>
      <c r="E25" s="28" t="s">
        <v>867</v>
      </c>
      <c r="F25" s="2" t="s">
        <v>101</v>
      </c>
      <c r="G25" s="2" t="s">
        <v>183</v>
      </c>
      <c r="J25" s="2" t="s">
        <v>881</v>
      </c>
      <c r="K25" s="5">
        <v>38838</v>
      </c>
      <c r="L25" s="5">
        <v>39967</v>
      </c>
      <c r="M25" s="2" t="s">
        <v>182</v>
      </c>
      <c r="N25" s="47" t="s">
        <v>884</v>
      </c>
      <c r="O25" s="2" t="s">
        <v>180</v>
      </c>
      <c r="P25" s="47" t="s">
        <v>889</v>
      </c>
      <c r="Q25" s="26" t="s">
        <v>93</v>
      </c>
      <c r="R25" s="26" t="s">
        <v>193</v>
      </c>
      <c r="S25" s="1" t="s">
        <v>101</v>
      </c>
      <c r="T25" s="1" t="s">
        <v>101</v>
      </c>
      <c r="U25" s="1" t="s">
        <v>101</v>
      </c>
      <c r="V25" s="1" t="s">
        <v>101</v>
      </c>
      <c r="W25" s="2">
        <v>56000</v>
      </c>
      <c r="X25" s="47" t="s">
        <v>101</v>
      </c>
      <c r="Y25" s="2" t="s">
        <v>192</v>
      </c>
      <c r="AA25" s="2" t="s">
        <v>186</v>
      </c>
      <c r="AB25" s="2" t="s">
        <v>185</v>
      </c>
      <c r="AC25" s="2" t="s">
        <v>846</v>
      </c>
      <c r="AD25" s="2" t="s">
        <v>187</v>
      </c>
      <c r="AE25" s="47" t="s">
        <v>1035</v>
      </c>
      <c r="AF25" s="2" t="s">
        <v>189</v>
      </c>
      <c r="AG25" s="47" t="s">
        <v>966</v>
      </c>
      <c r="AH25" s="2" t="s">
        <v>101</v>
      </c>
      <c r="AI25" s="47"/>
      <c r="AK25" s="2" t="s">
        <v>101</v>
      </c>
      <c r="AL25" s="2" t="s">
        <v>101</v>
      </c>
      <c r="AM25" s="2" t="s">
        <v>101</v>
      </c>
      <c r="AN25" s="2" t="s">
        <v>101</v>
      </c>
      <c r="AO25" s="1">
        <v>51</v>
      </c>
      <c r="AP25" s="2" t="s">
        <v>101</v>
      </c>
      <c r="AQ25" s="2" t="s">
        <v>101</v>
      </c>
      <c r="AR25" s="1">
        <v>4</v>
      </c>
      <c r="AS25" s="1" t="s">
        <v>197</v>
      </c>
      <c r="AT25" s="2">
        <v>93</v>
      </c>
      <c r="AU25" s="47">
        <v>93</v>
      </c>
      <c r="AV25" s="1" t="s">
        <v>101</v>
      </c>
      <c r="AW25" s="2" t="s">
        <v>227</v>
      </c>
    </row>
    <row r="26" spans="1:51" ht="27.75" customHeight="1" x14ac:dyDescent="0.35">
      <c r="A26" s="1">
        <v>8</v>
      </c>
      <c r="B26" s="2" t="s">
        <v>178</v>
      </c>
      <c r="C26" s="2" t="s">
        <v>179</v>
      </c>
      <c r="D26" s="2" t="s">
        <v>181</v>
      </c>
      <c r="E26" s="28" t="s">
        <v>867</v>
      </c>
      <c r="F26" s="2" t="s">
        <v>101</v>
      </c>
      <c r="G26" s="2" t="s">
        <v>183</v>
      </c>
      <c r="J26" s="2" t="s">
        <v>881</v>
      </c>
      <c r="K26" s="5">
        <v>38838</v>
      </c>
      <c r="L26" s="5">
        <v>39967</v>
      </c>
      <c r="M26" s="2" t="s">
        <v>182</v>
      </c>
      <c r="N26" s="47" t="s">
        <v>884</v>
      </c>
      <c r="O26" s="2" t="s">
        <v>180</v>
      </c>
      <c r="P26" s="47" t="s">
        <v>889</v>
      </c>
      <c r="Q26" s="26" t="s">
        <v>93</v>
      </c>
      <c r="R26" s="26" t="s">
        <v>193</v>
      </c>
      <c r="S26" s="1" t="s">
        <v>101</v>
      </c>
      <c r="T26" s="1" t="s">
        <v>101</v>
      </c>
      <c r="U26" s="1" t="s">
        <v>101</v>
      </c>
      <c r="V26" s="1" t="s">
        <v>101</v>
      </c>
      <c r="W26" s="2">
        <v>56000</v>
      </c>
      <c r="X26" s="47" t="s">
        <v>101</v>
      </c>
      <c r="Y26" s="2" t="s">
        <v>192</v>
      </c>
      <c r="AA26" s="2" t="s">
        <v>186</v>
      </c>
      <c r="AB26" s="2" t="s">
        <v>185</v>
      </c>
      <c r="AC26" s="2" t="s">
        <v>846</v>
      </c>
      <c r="AD26" s="2" t="s">
        <v>191</v>
      </c>
      <c r="AE26" s="47" t="s">
        <v>917</v>
      </c>
      <c r="AF26" s="2" t="s">
        <v>189</v>
      </c>
      <c r="AG26" s="47" t="s">
        <v>966</v>
      </c>
      <c r="AH26" s="2" t="s">
        <v>101</v>
      </c>
      <c r="AI26" s="47"/>
      <c r="AK26" s="2" t="s">
        <v>101</v>
      </c>
      <c r="AL26" s="2" t="s">
        <v>101</v>
      </c>
      <c r="AM26" s="2" t="s">
        <v>101</v>
      </c>
      <c r="AN26" s="2" t="s">
        <v>101</v>
      </c>
      <c r="AO26" s="1">
        <v>51</v>
      </c>
      <c r="AP26" s="2" t="s">
        <v>101</v>
      </c>
      <c r="AQ26" s="2" t="s">
        <v>101</v>
      </c>
      <c r="AR26" s="1">
        <v>15</v>
      </c>
      <c r="AS26" s="1">
        <v>1</v>
      </c>
      <c r="AT26" s="2">
        <v>50</v>
      </c>
      <c r="AU26" s="47">
        <v>50</v>
      </c>
      <c r="AV26" s="1" t="s">
        <v>101</v>
      </c>
      <c r="AW26" s="2" t="s">
        <v>227</v>
      </c>
    </row>
    <row r="27" spans="1:51" ht="27.75" customHeight="1" x14ac:dyDescent="0.35">
      <c r="A27" s="1">
        <v>8</v>
      </c>
      <c r="B27" s="2" t="s">
        <v>178</v>
      </c>
      <c r="C27" s="2" t="s">
        <v>179</v>
      </c>
      <c r="D27" s="2" t="s">
        <v>181</v>
      </c>
      <c r="E27" s="28" t="s">
        <v>867</v>
      </c>
      <c r="F27" s="2" t="s">
        <v>101</v>
      </c>
      <c r="G27" s="2" t="s">
        <v>183</v>
      </c>
      <c r="J27" s="2" t="s">
        <v>881</v>
      </c>
      <c r="K27" s="5">
        <v>38838</v>
      </c>
      <c r="L27" s="5">
        <v>39967</v>
      </c>
      <c r="M27" s="2" t="s">
        <v>182</v>
      </c>
      <c r="N27" s="47" t="s">
        <v>884</v>
      </c>
      <c r="O27" s="2" t="s">
        <v>180</v>
      </c>
      <c r="P27" s="47" t="s">
        <v>889</v>
      </c>
      <c r="Q27" s="26" t="s">
        <v>93</v>
      </c>
      <c r="R27" s="26" t="s">
        <v>194</v>
      </c>
      <c r="S27" s="1" t="s">
        <v>101</v>
      </c>
      <c r="T27" s="1" t="s">
        <v>101</v>
      </c>
      <c r="U27" s="1" t="s">
        <v>101</v>
      </c>
      <c r="V27" s="1" t="s">
        <v>101</v>
      </c>
      <c r="W27" s="2">
        <v>56000</v>
      </c>
      <c r="X27" s="47" t="s">
        <v>101</v>
      </c>
      <c r="Y27" s="15">
        <v>39965</v>
      </c>
      <c r="Z27" s="15"/>
      <c r="AA27" s="2" t="s">
        <v>186</v>
      </c>
      <c r="AB27" s="2" t="s">
        <v>185</v>
      </c>
      <c r="AC27" s="2" t="s">
        <v>846</v>
      </c>
      <c r="AD27" s="2" t="s">
        <v>187</v>
      </c>
      <c r="AE27" s="47" t="s">
        <v>1035</v>
      </c>
      <c r="AF27" s="2" t="s">
        <v>189</v>
      </c>
      <c r="AG27" s="47" t="s">
        <v>966</v>
      </c>
      <c r="AH27" s="2" t="s">
        <v>101</v>
      </c>
      <c r="AI27" s="47"/>
      <c r="AK27" s="2" t="s">
        <v>101</v>
      </c>
      <c r="AL27" s="2" t="s">
        <v>101</v>
      </c>
      <c r="AM27" s="2" t="s">
        <v>101</v>
      </c>
      <c r="AN27" s="2" t="s">
        <v>101</v>
      </c>
      <c r="AO27" s="1">
        <v>35</v>
      </c>
      <c r="AP27" s="2" t="s">
        <v>101</v>
      </c>
      <c r="AQ27" s="2" t="s">
        <v>101</v>
      </c>
      <c r="AR27" s="1">
        <v>2</v>
      </c>
      <c r="AS27" s="1" t="s">
        <v>197</v>
      </c>
      <c r="AT27" s="2">
        <v>93</v>
      </c>
      <c r="AU27" s="47">
        <v>93</v>
      </c>
      <c r="AV27" s="1" t="s">
        <v>101</v>
      </c>
      <c r="AW27" s="2" t="s">
        <v>227</v>
      </c>
    </row>
    <row r="28" spans="1:51" ht="27.75" customHeight="1" x14ac:dyDescent="0.35">
      <c r="A28" s="1">
        <v>8</v>
      </c>
      <c r="B28" s="2" t="s">
        <v>178</v>
      </c>
      <c r="C28" s="2" t="s">
        <v>179</v>
      </c>
      <c r="D28" s="2" t="s">
        <v>181</v>
      </c>
      <c r="E28" s="28" t="s">
        <v>867</v>
      </c>
      <c r="F28" s="2" t="s">
        <v>101</v>
      </c>
      <c r="G28" s="2" t="s">
        <v>183</v>
      </c>
      <c r="J28" s="2" t="s">
        <v>881</v>
      </c>
      <c r="K28" s="5">
        <v>38838</v>
      </c>
      <c r="L28" s="5">
        <v>39967</v>
      </c>
      <c r="M28" s="2" t="s">
        <v>182</v>
      </c>
      <c r="N28" s="47" t="s">
        <v>884</v>
      </c>
      <c r="O28" s="2" t="s">
        <v>180</v>
      </c>
      <c r="P28" s="47" t="s">
        <v>889</v>
      </c>
      <c r="Q28" s="26" t="s">
        <v>93</v>
      </c>
      <c r="R28" s="26" t="s">
        <v>194</v>
      </c>
      <c r="S28" s="1" t="s">
        <v>101</v>
      </c>
      <c r="T28" s="1" t="s">
        <v>101</v>
      </c>
      <c r="U28" s="1" t="s">
        <v>101</v>
      </c>
      <c r="V28" s="1" t="s">
        <v>101</v>
      </c>
      <c r="W28" s="2">
        <v>56000</v>
      </c>
      <c r="X28" s="47" t="s">
        <v>101</v>
      </c>
      <c r="Y28" s="15">
        <v>39965</v>
      </c>
      <c r="Z28" s="15"/>
      <c r="AA28" s="2" t="s">
        <v>186</v>
      </c>
      <c r="AB28" s="2" t="s">
        <v>185</v>
      </c>
      <c r="AC28" s="2" t="s">
        <v>846</v>
      </c>
      <c r="AD28" s="2" t="s">
        <v>191</v>
      </c>
      <c r="AE28" s="47" t="s">
        <v>917</v>
      </c>
      <c r="AF28" s="2" t="s">
        <v>189</v>
      </c>
      <c r="AG28" s="47" t="s">
        <v>966</v>
      </c>
      <c r="AH28" s="2" t="s">
        <v>101</v>
      </c>
      <c r="AI28" s="47"/>
      <c r="AK28" s="2" t="s">
        <v>101</v>
      </c>
      <c r="AL28" s="2" t="s">
        <v>101</v>
      </c>
      <c r="AM28" s="2" t="s">
        <v>101</v>
      </c>
      <c r="AN28" s="2" t="s">
        <v>101</v>
      </c>
      <c r="AO28" s="1">
        <v>35</v>
      </c>
      <c r="AP28" s="2" t="s">
        <v>101</v>
      </c>
      <c r="AQ28" s="2" t="s">
        <v>101</v>
      </c>
      <c r="AR28" s="1">
        <v>24</v>
      </c>
      <c r="AS28" s="1">
        <v>3</v>
      </c>
      <c r="AT28" s="2">
        <v>30</v>
      </c>
      <c r="AU28" s="47">
        <v>30</v>
      </c>
      <c r="AV28" s="1" t="s">
        <v>101</v>
      </c>
      <c r="AW28" s="2" t="s">
        <v>227</v>
      </c>
    </row>
    <row r="29" spans="1:51" ht="27.75" customHeight="1" x14ac:dyDescent="0.35">
      <c r="A29" s="1">
        <v>9</v>
      </c>
      <c r="B29" s="2" t="s">
        <v>198</v>
      </c>
      <c r="C29" s="2" t="s">
        <v>199</v>
      </c>
      <c r="D29" s="2" t="s">
        <v>200</v>
      </c>
      <c r="E29" s="2" t="s">
        <v>201</v>
      </c>
      <c r="F29" s="2" t="s">
        <v>101</v>
      </c>
      <c r="G29" s="2" t="s">
        <v>202</v>
      </c>
      <c r="H29" s="2">
        <v>79</v>
      </c>
      <c r="I29" s="2">
        <v>245</v>
      </c>
      <c r="J29" s="2" t="s">
        <v>882</v>
      </c>
      <c r="K29" s="1">
        <v>2011</v>
      </c>
      <c r="L29" s="1">
        <v>2013</v>
      </c>
      <c r="M29" s="2" t="s">
        <v>203</v>
      </c>
      <c r="N29" s="47" t="s">
        <v>884</v>
      </c>
      <c r="O29" s="2" t="s">
        <v>209</v>
      </c>
      <c r="P29" s="47" t="s">
        <v>534</v>
      </c>
      <c r="Q29" s="26" t="s">
        <v>93</v>
      </c>
      <c r="R29" s="26">
        <v>8.1999999999999993</v>
      </c>
      <c r="S29" s="1" t="s">
        <v>101</v>
      </c>
      <c r="T29" s="1" t="s">
        <v>101</v>
      </c>
      <c r="U29" s="1" t="s">
        <v>101</v>
      </c>
      <c r="V29" s="1" t="s">
        <v>101</v>
      </c>
      <c r="W29" s="2">
        <v>57.9</v>
      </c>
      <c r="X29" s="47">
        <v>183.3</v>
      </c>
      <c r="Y29" s="15">
        <v>41050</v>
      </c>
      <c r="Z29" s="15"/>
      <c r="AA29" s="2" t="s">
        <v>207</v>
      </c>
      <c r="AB29" s="2" t="s">
        <v>206</v>
      </c>
      <c r="AC29" s="2" t="s">
        <v>899</v>
      </c>
      <c r="AD29" s="2" t="s">
        <v>205</v>
      </c>
      <c r="AE29" s="47"/>
      <c r="AF29" s="2" t="s">
        <v>204</v>
      </c>
      <c r="AG29" s="47" t="s">
        <v>966</v>
      </c>
      <c r="AH29" s="2" t="s">
        <v>101</v>
      </c>
      <c r="AI29" s="47"/>
      <c r="AK29" s="2" t="s">
        <v>101</v>
      </c>
      <c r="AL29" s="2" t="s">
        <v>101</v>
      </c>
      <c r="AM29" s="2" t="s">
        <v>101</v>
      </c>
      <c r="AN29" s="2" t="s">
        <v>101</v>
      </c>
      <c r="AO29" s="2">
        <v>3.24</v>
      </c>
      <c r="AP29" s="2" t="s">
        <v>101</v>
      </c>
      <c r="AQ29" s="2" t="s">
        <v>101</v>
      </c>
      <c r="AR29" s="1">
        <v>0.22</v>
      </c>
      <c r="AS29" s="1" t="s">
        <v>101</v>
      </c>
      <c r="AT29" s="2">
        <v>98.2</v>
      </c>
      <c r="AU29" s="47">
        <v>98.2</v>
      </c>
      <c r="AV29" s="1" t="s">
        <v>101</v>
      </c>
      <c r="AW29" s="2" t="s">
        <v>211</v>
      </c>
    </row>
    <row r="30" spans="1:51" ht="27.75" customHeight="1" x14ac:dyDescent="0.35">
      <c r="A30" s="1">
        <v>9</v>
      </c>
      <c r="B30" s="2" t="s">
        <v>198</v>
      </c>
      <c r="C30" s="2" t="s">
        <v>199</v>
      </c>
      <c r="D30" s="2" t="s">
        <v>200</v>
      </c>
      <c r="E30" s="2" t="s">
        <v>201</v>
      </c>
      <c r="F30" s="2" t="s">
        <v>101</v>
      </c>
      <c r="G30" s="2" t="s">
        <v>202</v>
      </c>
      <c r="H30" s="2">
        <v>79</v>
      </c>
      <c r="I30" s="2">
        <v>245</v>
      </c>
      <c r="J30" s="2" t="s">
        <v>882</v>
      </c>
      <c r="K30" s="1">
        <v>2011</v>
      </c>
      <c r="L30" s="1">
        <v>2013</v>
      </c>
      <c r="M30" s="2" t="s">
        <v>203</v>
      </c>
      <c r="N30" s="47" t="s">
        <v>884</v>
      </c>
      <c r="O30" s="2" t="s">
        <v>209</v>
      </c>
      <c r="P30" s="47" t="s">
        <v>534</v>
      </c>
      <c r="Q30" s="26" t="s">
        <v>93</v>
      </c>
      <c r="R30" s="26">
        <v>6.6</v>
      </c>
      <c r="S30" s="1" t="s">
        <v>101</v>
      </c>
      <c r="T30" s="1" t="s">
        <v>101</v>
      </c>
      <c r="U30" s="1" t="s">
        <v>101</v>
      </c>
      <c r="V30" s="1" t="s">
        <v>101</v>
      </c>
      <c r="W30" s="2">
        <v>47.6</v>
      </c>
      <c r="X30" s="47">
        <v>172.1</v>
      </c>
      <c r="Y30" s="15">
        <v>41192</v>
      </c>
      <c r="Z30" s="15"/>
      <c r="AA30" s="2" t="s">
        <v>207</v>
      </c>
      <c r="AB30" s="2" t="s">
        <v>206</v>
      </c>
      <c r="AC30" s="2" t="s">
        <v>899</v>
      </c>
      <c r="AD30" s="2" t="s">
        <v>205</v>
      </c>
      <c r="AE30" s="47"/>
      <c r="AF30" s="2" t="s">
        <v>204</v>
      </c>
      <c r="AG30" s="47" t="s">
        <v>966</v>
      </c>
      <c r="AH30" s="2" t="s">
        <v>101</v>
      </c>
      <c r="AI30" s="47"/>
      <c r="AK30" s="2" t="s">
        <v>101</v>
      </c>
      <c r="AL30" s="2" t="s">
        <v>101</v>
      </c>
      <c r="AM30" s="2" t="s">
        <v>101</v>
      </c>
      <c r="AN30" s="2" t="s">
        <v>101</v>
      </c>
      <c r="AO30" s="1">
        <v>6.25</v>
      </c>
      <c r="AP30" s="2" t="s">
        <v>101</v>
      </c>
      <c r="AQ30" s="2" t="s">
        <v>101</v>
      </c>
      <c r="AR30" s="1">
        <v>0.68</v>
      </c>
      <c r="AS30" s="1" t="s">
        <v>101</v>
      </c>
      <c r="AT30" s="2">
        <v>95.8</v>
      </c>
      <c r="AU30" s="47">
        <v>95.8</v>
      </c>
      <c r="AV30" s="1" t="s">
        <v>101</v>
      </c>
      <c r="AW30" s="2" t="s">
        <v>211</v>
      </c>
    </row>
    <row r="31" spans="1:51" s="8" customFormat="1" ht="27.75" customHeight="1" thickBot="1" x14ac:dyDescent="0.4">
      <c r="A31" s="8">
        <v>9</v>
      </c>
      <c r="B31" s="11" t="s">
        <v>198</v>
      </c>
      <c r="C31" s="11" t="s">
        <v>199</v>
      </c>
      <c r="D31" s="11" t="s">
        <v>200</v>
      </c>
      <c r="E31" s="11" t="s">
        <v>201</v>
      </c>
      <c r="F31" s="11" t="s">
        <v>101</v>
      </c>
      <c r="G31" s="11" t="s">
        <v>202</v>
      </c>
      <c r="H31" s="2">
        <v>79</v>
      </c>
      <c r="I31" s="2">
        <v>245</v>
      </c>
      <c r="J31" s="2" t="s">
        <v>882</v>
      </c>
      <c r="K31" s="8">
        <v>2011</v>
      </c>
      <c r="L31" s="8">
        <v>2013</v>
      </c>
      <c r="M31" s="11" t="s">
        <v>203</v>
      </c>
      <c r="N31" s="47" t="s">
        <v>884</v>
      </c>
      <c r="O31" s="11" t="s">
        <v>209</v>
      </c>
      <c r="P31" s="47" t="s">
        <v>534</v>
      </c>
      <c r="Q31" s="27" t="s">
        <v>93</v>
      </c>
      <c r="R31" s="27">
        <v>9.6</v>
      </c>
      <c r="S31" s="8" t="s">
        <v>101</v>
      </c>
      <c r="T31" s="8" t="s">
        <v>101</v>
      </c>
      <c r="U31" s="8" t="s">
        <v>101</v>
      </c>
      <c r="V31" s="8" t="s">
        <v>101</v>
      </c>
      <c r="W31" s="11">
        <v>42.4</v>
      </c>
      <c r="X31" s="49">
        <v>221.3</v>
      </c>
      <c r="Y31" s="17">
        <v>41396</v>
      </c>
      <c r="Z31" s="17"/>
      <c r="AA31" s="11" t="s">
        <v>207</v>
      </c>
      <c r="AB31" s="11" t="s">
        <v>206</v>
      </c>
      <c r="AC31" s="2" t="s">
        <v>899</v>
      </c>
      <c r="AD31" s="11" t="s">
        <v>205</v>
      </c>
      <c r="AE31" s="49"/>
      <c r="AF31" s="11" t="s">
        <v>204</v>
      </c>
      <c r="AG31" s="47" t="s">
        <v>966</v>
      </c>
      <c r="AH31" s="11" t="s">
        <v>101</v>
      </c>
      <c r="AI31" s="49"/>
      <c r="AJ31" s="11"/>
      <c r="AK31" s="11" t="s">
        <v>101</v>
      </c>
      <c r="AL31" s="11" t="s">
        <v>101</v>
      </c>
      <c r="AM31" s="11" t="s">
        <v>101</v>
      </c>
      <c r="AN31" s="11" t="s">
        <v>101</v>
      </c>
      <c r="AO31" s="8">
        <v>12.04</v>
      </c>
      <c r="AP31" s="11" t="s">
        <v>101</v>
      </c>
      <c r="AQ31" s="11" t="s">
        <v>101</v>
      </c>
      <c r="AR31" s="8">
        <v>0.99</v>
      </c>
      <c r="AS31" s="8" t="s">
        <v>101</v>
      </c>
      <c r="AT31" s="11">
        <v>92.1</v>
      </c>
      <c r="AU31" s="49">
        <v>92.1</v>
      </c>
      <c r="AV31" s="8" t="s">
        <v>101</v>
      </c>
      <c r="AW31" s="11" t="s">
        <v>211</v>
      </c>
    </row>
    <row r="32" spans="1:51" ht="27.75" customHeight="1" thickTop="1" x14ac:dyDescent="0.35">
      <c r="A32" s="1">
        <v>10</v>
      </c>
      <c r="B32" s="2" t="s">
        <v>212</v>
      </c>
      <c r="C32" s="2" t="s">
        <v>213</v>
      </c>
      <c r="D32" s="2" t="s">
        <v>214</v>
      </c>
      <c r="E32" s="42" t="s">
        <v>868</v>
      </c>
      <c r="F32" s="2" t="s">
        <v>101</v>
      </c>
      <c r="G32" s="2" t="s">
        <v>101</v>
      </c>
      <c r="K32" s="5">
        <v>43220</v>
      </c>
      <c r="L32" s="5">
        <v>43221</v>
      </c>
      <c r="M32" s="2" t="s">
        <v>221</v>
      </c>
      <c r="N32" s="47" t="s">
        <v>887</v>
      </c>
      <c r="O32" s="2" t="s">
        <v>216</v>
      </c>
      <c r="P32" s="47" t="s">
        <v>891</v>
      </c>
      <c r="Q32" s="26" t="s">
        <v>93</v>
      </c>
      <c r="R32" s="26" t="s">
        <v>101</v>
      </c>
      <c r="S32" s="1" t="s">
        <v>101</v>
      </c>
      <c r="T32" s="1" t="s">
        <v>101</v>
      </c>
      <c r="U32" s="1" t="s">
        <v>101</v>
      </c>
      <c r="V32" s="1">
        <v>7.9</v>
      </c>
      <c r="W32" s="2" t="s">
        <v>101</v>
      </c>
      <c r="X32" s="47" t="s">
        <v>101</v>
      </c>
      <c r="Y32" s="5">
        <v>43220</v>
      </c>
      <c r="Z32" s="5"/>
      <c r="AA32" s="2" t="s">
        <v>219</v>
      </c>
      <c r="AB32" s="2" t="s">
        <v>215</v>
      </c>
      <c r="AC32" s="2" t="s">
        <v>899</v>
      </c>
      <c r="AD32" s="1" t="s">
        <v>101</v>
      </c>
      <c r="AE32" s="26"/>
      <c r="AF32" s="2" t="s">
        <v>218</v>
      </c>
      <c r="AG32" s="47" t="s">
        <v>936</v>
      </c>
      <c r="AH32" s="2" t="s">
        <v>217</v>
      </c>
      <c r="AI32" s="47" t="s">
        <v>904</v>
      </c>
      <c r="AK32" s="1">
        <v>6.4</v>
      </c>
      <c r="AL32" s="1" t="s">
        <v>101</v>
      </c>
      <c r="AM32" s="1" t="s">
        <v>101</v>
      </c>
      <c r="AN32" s="1" t="s">
        <v>101</v>
      </c>
      <c r="AO32" s="1">
        <v>5.9</v>
      </c>
      <c r="AP32" s="1" t="s">
        <v>101</v>
      </c>
      <c r="AQ32" s="1" t="s">
        <v>101</v>
      </c>
      <c r="AR32" s="1" t="s">
        <v>225</v>
      </c>
      <c r="AS32" s="1" t="s">
        <v>101</v>
      </c>
      <c r="AT32" s="2">
        <f xml:space="preserve"> 0.58*100</f>
        <v>57.999999999999993</v>
      </c>
      <c r="AU32" s="47">
        <v>57.999999999999993</v>
      </c>
      <c r="AV32" s="1" t="s">
        <v>101</v>
      </c>
      <c r="AW32" s="2" t="s">
        <v>223</v>
      </c>
      <c r="AX32" s="1" t="s">
        <v>222</v>
      </c>
    </row>
    <row r="33" spans="1:50" s="8" customFormat="1" ht="27.75" customHeight="1" thickBot="1" x14ac:dyDescent="0.4">
      <c r="A33" s="8">
        <v>10</v>
      </c>
      <c r="B33" s="11" t="s">
        <v>212</v>
      </c>
      <c r="C33" s="11" t="s">
        <v>213</v>
      </c>
      <c r="D33" s="11" t="s">
        <v>214</v>
      </c>
      <c r="E33" s="29" t="s">
        <v>868</v>
      </c>
      <c r="F33" s="11" t="s">
        <v>101</v>
      </c>
      <c r="G33" s="11" t="s">
        <v>101</v>
      </c>
      <c r="H33" s="11"/>
      <c r="I33" s="11"/>
      <c r="J33" s="11"/>
      <c r="K33" s="9">
        <v>43220</v>
      </c>
      <c r="L33" s="9">
        <v>43221</v>
      </c>
      <c r="M33" s="11" t="s">
        <v>221</v>
      </c>
      <c r="N33" s="49" t="s">
        <v>887</v>
      </c>
      <c r="O33" s="11" t="s">
        <v>216</v>
      </c>
      <c r="P33" s="47" t="s">
        <v>891</v>
      </c>
      <c r="Q33" s="27" t="s">
        <v>93</v>
      </c>
      <c r="R33" s="26" t="s">
        <v>101</v>
      </c>
      <c r="S33" s="1" t="s">
        <v>101</v>
      </c>
      <c r="T33" s="1" t="s">
        <v>101</v>
      </c>
      <c r="U33" s="1" t="s">
        <v>101</v>
      </c>
      <c r="V33" s="8">
        <v>7.9</v>
      </c>
      <c r="W33" s="11" t="s">
        <v>101</v>
      </c>
      <c r="X33" s="49" t="s">
        <v>101</v>
      </c>
      <c r="Y33" s="9">
        <v>43220</v>
      </c>
      <c r="Z33" s="9"/>
      <c r="AA33" s="11" t="s">
        <v>219</v>
      </c>
      <c r="AB33" s="11" t="s">
        <v>215</v>
      </c>
      <c r="AC33" s="2" t="s">
        <v>899</v>
      </c>
      <c r="AD33" s="8" t="s">
        <v>101</v>
      </c>
      <c r="AE33" s="27"/>
      <c r="AF33" s="11" t="s">
        <v>218</v>
      </c>
      <c r="AG33" s="49" t="s">
        <v>936</v>
      </c>
      <c r="AH33" s="11" t="s">
        <v>217</v>
      </c>
      <c r="AI33" s="49" t="s">
        <v>904</v>
      </c>
      <c r="AJ33" s="11"/>
      <c r="AK33" s="8">
        <v>6.4</v>
      </c>
      <c r="AL33" s="8" t="s">
        <v>101</v>
      </c>
      <c r="AM33" s="1" t="s">
        <v>101</v>
      </c>
      <c r="AN33" s="1" t="s">
        <v>101</v>
      </c>
      <c r="AO33" s="8">
        <v>13</v>
      </c>
      <c r="AP33" s="1" t="s">
        <v>101</v>
      </c>
      <c r="AQ33" s="1" t="s">
        <v>101</v>
      </c>
      <c r="AR33" s="8" t="s">
        <v>224</v>
      </c>
      <c r="AS33" s="1" t="s">
        <v>101</v>
      </c>
      <c r="AT33" s="11">
        <f>0.35*100</f>
        <v>35</v>
      </c>
      <c r="AU33" s="49">
        <v>35</v>
      </c>
      <c r="AV33" s="8" t="s">
        <v>101</v>
      </c>
      <c r="AW33" s="11" t="s">
        <v>223</v>
      </c>
      <c r="AX33" s="8" t="s">
        <v>220</v>
      </c>
    </row>
    <row r="34" spans="1:50" ht="27.75" customHeight="1" thickTop="1" x14ac:dyDescent="0.35">
      <c r="A34" s="1">
        <v>14</v>
      </c>
      <c r="B34" s="2" t="s">
        <v>242</v>
      </c>
      <c r="C34" s="2" t="s">
        <v>243</v>
      </c>
      <c r="D34" s="2" t="s">
        <v>245</v>
      </c>
      <c r="E34" s="28" t="s">
        <v>869</v>
      </c>
      <c r="F34" s="2" t="s">
        <v>101</v>
      </c>
      <c r="G34" s="2" t="s">
        <v>246</v>
      </c>
      <c r="H34" s="2">
        <v>870</v>
      </c>
      <c r="I34" s="2">
        <v>30</v>
      </c>
      <c r="J34" s="2" t="s">
        <v>880</v>
      </c>
      <c r="K34" s="5" t="s">
        <v>101</v>
      </c>
      <c r="L34" s="5" t="s">
        <v>101</v>
      </c>
      <c r="M34" s="2" t="s">
        <v>247</v>
      </c>
      <c r="N34" s="47" t="s">
        <v>885</v>
      </c>
      <c r="O34" s="2" t="s">
        <v>244</v>
      </c>
      <c r="P34" s="47" t="s">
        <v>534</v>
      </c>
      <c r="Q34" s="26" t="s">
        <v>93</v>
      </c>
      <c r="R34" s="26">
        <v>4.29</v>
      </c>
      <c r="S34" s="1" t="s">
        <v>101</v>
      </c>
      <c r="T34" s="1" t="s">
        <v>101</v>
      </c>
      <c r="U34" s="1" t="s">
        <v>101</v>
      </c>
      <c r="V34" s="1">
        <v>7.4</v>
      </c>
      <c r="W34" s="2" t="s">
        <v>101</v>
      </c>
      <c r="X34" s="47">
        <v>50</v>
      </c>
      <c r="Y34" s="2" t="s">
        <v>101</v>
      </c>
      <c r="AA34" s="2" t="s">
        <v>254</v>
      </c>
      <c r="AB34" s="2" t="s">
        <v>248</v>
      </c>
      <c r="AC34" s="2" t="s">
        <v>846</v>
      </c>
      <c r="AD34" s="1" t="s">
        <v>208</v>
      </c>
      <c r="AE34" s="26" t="s">
        <v>208</v>
      </c>
      <c r="AF34" s="2" t="s">
        <v>918</v>
      </c>
      <c r="AG34" s="47" t="s">
        <v>966</v>
      </c>
      <c r="AI34" s="47"/>
      <c r="AK34" s="1" t="s">
        <v>101</v>
      </c>
      <c r="AL34" s="1" t="s">
        <v>101</v>
      </c>
      <c r="AM34" s="1" t="s">
        <v>101</v>
      </c>
      <c r="AN34" s="1" t="s">
        <v>101</v>
      </c>
      <c r="AO34" s="1">
        <v>153</v>
      </c>
      <c r="AP34" s="1" t="s">
        <v>101</v>
      </c>
      <c r="AQ34" s="1" t="s">
        <v>101</v>
      </c>
      <c r="AR34" s="1">
        <v>0</v>
      </c>
      <c r="AS34" s="1" t="s">
        <v>101</v>
      </c>
      <c r="AT34" s="2" t="s">
        <v>101</v>
      </c>
      <c r="AU34" s="47" t="s">
        <v>101</v>
      </c>
      <c r="AV34" s="1" t="s">
        <v>101</v>
      </c>
      <c r="AW34" s="2" t="s">
        <v>255</v>
      </c>
    </row>
    <row r="35" spans="1:50" ht="27.75" customHeight="1" x14ac:dyDescent="0.35">
      <c r="A35" s="1">
        <v>14</v>
      </c>
      <c r="B35" s="2" t="s">
        <v>242</v>
      </c>
      <c r="C35" s="2" t="s">
        <v>243</v>
      </c>
      <c r="D35" s="2" t="s">
        <v>245</v>
      </c>
      <c r="E35" s="28" t="s">
        <v>869</v>
      </c>
      <c r="F35" s="2" t="s">
        <v>101</v>
      </c>
      <c r="G35" s="2" t="s">
        <v>246</v>
      </c>
      <c r="H35" s="2">
        <v>870</v>
      </c>
      <c r="I35" s="2">
        <v>30</v>
      </c>
      <c r="J35" s="2" t="s">
        <v>880</v>
      </c>
      <c r="K35" s="5" t="s">
        <v>101</v>
      </c>
      <c r="L35" s="5" t="s">
        <v>101</v>
      </c>
      <c r="M35" s="2" t="s">
        <v>247</v>
      </c>
      <c r="N35" s="47" t="s">
        <v>885</v>
      </c>
      <c r="O35" s="2" t="s">
        <v>244</v>
      </c>
      <c r="P35" s="47" t="s">
        <v>534</v>
      </c>
      <c r="Q35" s="26" t="s">
        <v>93</v>
      </c>
      <c r="R35" s="26">
        <v>4.29</v>
      </c>
      <c r="S35" s="1" t="s">
        <v>101</v>
      </c>
      <c r="T35" s="1" t="s">
        <v>101</v>
      </c>
      <c r="U35" s="1" t="s">
        <v>101</v>
      </c>
      <c r="V35" s="1">
        <v>7.4</v>
      </c>
      <c r="W35" s="2" t="s">
        <v>101</v>
      </c>
      <c r="X35" s="47">
        <v>50</v>
      </c>
      <c r="Y35" s="2" t="s">
        <v>101</v>
      </c>
      <c r="AA35" s="2" t="s">
        <v>254</v>
      </c>
      <c r="AB35" s="2" t="s">
        <v>248</v>
      </c>
      <c r="AC35" s="2" t="s">
        <v>846</v>
      </c>
      <c r="AD35" s="2" t="s">
        <v>249</v>
      </c>
      <c r="AE35" s="47" t="s">
        <v>916</v>
      </c>
      <c r="AF35" s="2" t="s">
        <v>918</v>
      </c>
      <c r="AG35" s="47" t="s">
        <v>966</v>
      </c>
      <c r="AI35" s="47"/>
      <c r="AK35" s="1" t="s">
        <v>101</v>
      </c>
      <c r="AL35" s="1" t="s">
        <v>101</v>
      </c>
      <c r="AM35" s="1" t="s">
        <v>101</v>
      </c>
      <c r="AN35" s="1" t="s">
        <v>101</v>
      </c>
      <c r="AO35" s="1">
        <v>153</v>
      </c>
      <c r="AP35" s="1" t="s">
        <v>101</v>
      </c>
      <c r="AQ35" s="1" t="s">
        <v>101</v>
      </c>
      <c r="AR35" s="1">
        <v>28</v>
      </c>
      <c r="AS35" s="1" t="s">
        <v>101</v>
      </c>
      <c r="AT35" s="2" t="s">
        <v>101</v>
      </c>
      <c r="AU35" s="47" t="s">
        <v>101</v>
      </c>
      <c r="AV35" s="1" t="s">
        <v>101</v>
      </c>
      <c r="AW35" s="2" t="s">
        <v>255</v>
      </c>
    </row>
    <row r="36" spans="1:50" ht="27.75" customHeight="1" x14ac:dyDescent="0.35">
      <c r="A36" s="1">
        <v>14</v>
      </c>
      <c r="B36" s="2" t="s">
        <v>242</v>
      </c>
      <c r="C36" s="2" t="s">
        <v>243</v>
      </c>
      <c r="D36" s="2" t="s">
        <v>245</v>
      </c>
      <c r="E36" s="28" t="s">
        <v>869</v>
      </c>
      <c r="F36" s="2" t="s">
        <v>101</v>
      </c>
      <c r="G36" s="2" t="s">
        <v>246</v>
      </c>
      <c r="H36" s="2">
        <v>870</v>
      </c>
      <c r="I36" s="2">
        <v>30</v>
      </c>
      <c r="J36" s="2" t="s">
        <v>880</v>
      </c>
      <c r="K36" s="5" t="s">
        <v>101</v>
      </c>
      <c r="L36" s="5" t="s">
        <v>101</v>
      </c>
      <c r="M36" s="2" t="s">
        <v>247</v>
      </c>
      <c r="N36" s="47" t="s">
        <v>885</v>
      </c>
      <c r="O36" s="2" t="s">
        <v>244</v>
      </c>
      <c r="P36" s="47" t="s">
        <v>534</v>
      </c>
      <c r="Q36" s="26" t="s">
        <v>93</v>
      </c>
      <c r="R36" s="26">
        <v>4.29</v>
      </c>
      <c r="S36" s="1" t="s">
        <v>101</v>
      </c>
      <c r="T36" s="1" t="s">
        <v>101</v>
      </c>
      <c r="U36" s="1" t="s">
        <v>101</v>
      </c>
      <c r="V36" s="1">
        <v>7.4</v>
      </c>
      <c r="W36" s="2" t="s">
        <v>101</v>
      </c>
      <c r="X36" s="47">
        <v>50</v>
      </c>
      <c r="Y36" s="2" t="s">
        <v>101</v>
      </c>
      <c r="AA36" s="2" t="s">
        <v>254</v>
      </c>
      <c r="AB36" s="2" t="s">
        <v>248</v>
      </c>
      <c r="AC36" s="2" t="s">
        <v>846</v>
      </c>
      <c r="AD36" s="2" t="s">
        <v>250</v>
      </c>
      <c r="AE36" s="47" t="s">
        <v>916</v>
      </c>
      <c r="AF36" s="2" t="s">
        <v>918</v>
      </c>
      <c r="AG36" s="47" t="s">
        <v>966</v>
      </c>
      <c r="AH36" s="2" t="s">
        <v>904</v>
      </c>
      <c r="AI36" s="47" t="s">
        <v>904</v>
      </c>
      <c r="AK36" s="1">
        <v>5.5</v>
      </c>
      <c r="AL36" s="1">
        <v>48.9</v>
      </c>
      <c r="AM36" s="1" t="s">
        <v>101</v>
      </c>
      <c r="AN36" s="1" t="s">
        <v>101</v>
      </c>
      <c r="AO36" s="1">
        <v>153</v>
      </c>
      <c r="AP36" s="1" t="s">
        <v>101</v>
      </c>
      <c r="AQ36" s="1" t="s">
        <v>101</v>
      </c>
      <c r="AR36" s="1">
        <v>3</v>
      </c>
      <c r="AS36" s="1" t="s">
        <v>101</v>
      </c>
      <c r="AT36" s="2">
        <f>((AO36-AR36)/AO36)*100</f>
        <v>98.039215686274503</v>
      </c>
      <c r="AU36" s="47">
        <v>98.039215686274503</v>
      </c>
      <c r="AV36" s="1" t="s">
        <v>101</v>
      </c>
      <c r="AW36" s="2" t="s">
        <v>255</v>
      </c>
    </row>
    <row r="37" spans="1:50" ht="27.75" customHeight="1" x14ac:dyDescent="0.35">
      <c r="A37" s="1">
        <v>14</v>
      </c>
      <c r="B37" s="2" t="s">
        <v>242</v>
      </c>
      <c r="C37" s="2" t="s">
        <v>243</v>
      </c>
      <c r="D37" s="2" t="s">
        <v>245</v>
      </c>
      <c r="E37" s="28" t="s">
        <v>869</v>
      </c>
      <c r="F37" s="2" t="s">
        <v>101</v>
      </c>
      <c r="G37" s="2" t="s">
        <v>246</v>
      </c>
      <c r="H37" s="2">
        <v>870</v>
      </c>
      <c r="I37" s="2">
        <v>30</v>
      </c>
      <c r="J37" s="2" t="s">
        <v>880</v>
      </c>
      <c r="K37" s="5" t="s">
        <v>101</v>
      </c>
      <c r="L37" s="5" t="s">
        <v>101</v>
      </c>
      <c r="M37" s="2" t="s">
        <v>247</v>
      </c>
      <c r="N37" s="47" t="s">
        <v>885</v>
      </c>
      <c r="O37" s="2" t="s">
        <v>244</v>
      </c>
      <c r="P37" s="47" t="s">
        <v>534</v>
      </c>
      <c r="Q37" s="26" t="s">
        <v>93</v>
      </c>
      <c r="R37" s="26">
        <v>4.29</v>
      </c>
      <c r="S37" s="1" t="s">
        <v>101</v>
      </c>
      <c r="T37" s="1" t="s">
        <v>101</v>
      </c>
      <c r="U37" s="1" t="s">
        <v>101</v>
      </c>
      <c r="V37" s="1">
        <v>7.4</v>
      </c>
      <c r="W37" s="2" t="s">
        <v>101</v>
      </c>
      <c r="X37" s="47">
        <v>50</v>
      </c>
      <c r="Y37" s="2" t="s">
        <v>101</v>
      </c>
      <c r="AA37" s="2" t="s">
        <v>254</v>
      </c>
      <c r="AB37" s="2" t="s">
        <v>248</v>
      </c>
      <c r="AC37" s="2" t="s">
        <v>846</v>
      </c>
      <c r="AD37" s="2" t="s">
        <v>251</v>
      </c>
      <c r="AE37" s="47" t="s">
        <v>408</v>
      </c>
      <c r="AF37" s="2" t="s">
        <v>918</v>
      </c>
      <c r="AG37" s="47" t="s">
        <v>966</v>
      </c>
      <c r="AH37" s="2" t="s">
        <v>904</v>
      </c>
      <c r="AI37" s="47" t="s">
        <v>904</v>
      </c>
      <c r="AK37" s="1">
        <v>5.5</v>
      </c>
      <c r="AL37" s="1">
        <v>48.9</v>
      </c>
      <c r="AM37" s="1" t="s">
        <v>101</v>
      </c>
      <c r="AN37" s="1" t="s">
        <v>101</v>
      </c>
      <c r="AO37" s="1">
        <v>153</v>
      </c>
      <c r="AP37" s="1" t="s">
        <v>101</v>
      </c>
      <c r="AQ37" s="1" t="s">
        <v>101</v>
      </c>
      <c r="AR37" s="1">
        <v>11</v>
      </c>
      <c r="AS37" s="1" t="s">
        <v>101</v>
      </c>
      <c r="AT37" s="2">
        <f t="shared" ref="AT37:AT38" si="2">((AO37-AR37)/AO37)*100</f>
        <v>92.810457516339866</v>
      </c>
      <c r="AU37" s="47">
        <v>92.810457516339866</v>
      </c>
      <c r="AV37" s="1" t="s">
        <v>101</v>
      </c>
      <c r="AW37" s="2" t="s">
        <v>255</v>
      </c>
    </row>
    <row r="38" spans="1:50" ht="27.75" customHeight="1" x14ac:dyDescent="0.35">
      <c r="A38" s="1">
        <v>14</v>
      </c>
      <c r="B38" s="2" t="s">
        <v>242</v>
      </c>
      <c r="C38" s="2" t="s">
        <v>243</v>
      </c>
      <c r="D38" s="2" t="s">
        <v>245</v>
      </c>
      <c r="E38" s="28" t="s">
        <v>869</v>
      </c>
      <c r="F38" s="2" t="s">
        <v>101</v>
      </c>
      <c r="G38" s="2" t="s">
        <v>246</v>
      </c>
      <c r="H38" s="2">
        <v>870</v>
      </c>
      <c r="I38" s="2">
        <v>30</v>
      </c>
      <c r="J38" s="2" t="s">
        <v>880</v>
      </c>
      <c r="K38" s="5" t="s">
        <v>101</v>
      </c>
      <c r="L38" s="5" t="s">
        <v>101</v>
      </c>
      <c r="M38" s="2" t="s">
        <v>247</v>
      </c>
      <c r="N38" s="47" t="s">
        <v>885</v>
      </c>
      <c r="O38" s="2" t="s">
        <v>244</v>
      </c>
      <c r="P38" s="47" t="s">
        <v>534</v>
      </c>
      <c r="Q38" s="26" t="s">
        <v>93</v>
      </c>
      <c r="R38" s="26">
        <v>4.29</v>
      </c>
      <c r="S38" s="1" t="s">
        <v>101</v>
      </c>
      <c r="T38" s="1" t="s">
        <v>101</v>
      </c>
      <c r="U38" s="1" t="s">
        <v>101</v>
      </c>
      <c r="V38" s="1">
        <v>7.3</v>
      </c>
      <c r="W38" s="2" t="s">
        <v>101</v>
      </c>
      <c r="X38" s="47">
        <v>50</v>
      </c>
      <c r="Y38" s="2" t="s">
        <v>101</v>
      </c>
      <c r="AA38" s="2" t="s">
        <v>254</v>
      </c>
      <c r="AB38" s="2" t="s">
        <v>248</v>
      </c>
      <c r="AC38" s="2" t="s">
        <v>846</v>
      </c>
      <c r="AD38" s="2" t="s">
        <v>252</v>
      </c>
      <c r="AE38" s="47" t="s">
        <v>916</v>
      </c>
      <c r="AF38" s="2" t="s">
        <v>918</v>
      </c>
      <c r="AG38" s="47" t="s">
        <v>966</v>
      </c>
      <c r="AH38" s="2" t="s">
        <v>919</v>
      </c>
      <c r="AI38" s="47" t="s">
        <v>921</v>
      </c>
      <c r="AK38" s="1" t="s">
        <v>101</v>
      </c>
      <c r="AL38" s="1">
        <v>20.9</v>
      </c>
      <c r="AM38" s="1" t="s">
        <v>101</v>
      </c>
      <c r="AN38" s="1" t="s">
        <v>101</v>
      </c>
      <c r="AO38" s="1">
        <v>153</v>
      </c>
      <c r="AP38" s="1" t="s">
        <v>101</v>
      </c>
      <c r="AQ38" s="1" t="s">
        <v>101</v>
      </c>
      <c r="AR38" s="1">
        <v>42</v>
      </c>
      <c r="AS38" s="1" t="s">
        <v>101</v>
      </c>
      <c r="AT38" s="2">
        <f t="shared" si="2"/>
        <v>72.549019607843135</v>
      </c>
      <c r="AU38" s="47">
        <v>72.549019607843135</v>
      </c>
      <c r="AV38" s="1" t="s">
        <v>101</v>
      </c>
      <c r="AW38" s="2" t="s">
        <v>255</v>
      </c>
    </row>
    <row r="39" spans="1:50" s="8" customFormat="1" ht="27.75" customHeight="1" thickBot="1" x14ac:dyDescent="0.4">
      <c r="A39" s="8">
        <v>14</v>
      </c>
      <c r="B39" s="11" t="s">
        <v>242</v>
      </c>
      <c r="C39" s="11" t="s">
        <v>243</v>
      </c>
      <c r="D39" s="11" t="s">
        <v>245</v>
      </c>
      <c r="E39" s="29" t="s">
        <v>869</v>
      </c>
      <c r="F39" s="11" t="s">
        <v>101</v>
      </c>
      <c r="G39" s="11" t="s">
        <v>246</v>
      </c>
      <c r="H39" s="2">
        <v>870</v>
      </c>
      <c r="I39" s="2">
        <v>30</v>
      </c>
      <c r="J39" s="2" t="s">
        <v>880</v>
      </c>
      <c r="K39" s="9" t="s">
        <v>101</v>
      </c>
      <c r="L39" s="9" t="s">
        <v>101</v>
      </c>
      <c r="M39" s="11" t="s">
        <v>247</v>
      </c>
      <c r="N39" s="47" t="s">
        <v>885</v>
      </c>
      <c r="O39" s="11" t="s">
        <v>244</v>
      </c>
      <c r="P39" s="47" t="s">
        <v>534</v>
      </c>
      <c r="Q39" s="27" t="s">
        <v>93</v>
      </c>
      <c r="R39" s="27">
        <v>2.09</v>
      </c>
      <c r="S39" s="8" t="s">
        <v>101</v>
      </c>
      <c r="T39" s="8" t="s">
        <v>101</v>
      </c>
      <c r="U39" s="8" t="s">
        <v>101</v>
      </c>
      <c r="V39" s="8">
        <v>7.3</v>
      </c>
      <c r="W39" s="11" t="s">
        <v>101</v>
      </c>
      <c r="X39" s="49">
        <v>50</v>
      </c>
      <c r="Y39" s="11" t="s">
        <v>101</v>
      </c>
      <c r="Z39" s="11"/>
      <c r="AA39" s="11" t="s">
        <v>254</v>
      </c>
      <c r="AB39" s="11" t="s">
        <v>248</v>
      </c>
      <c r="AC39" s="2" t="s">
        <v>846</v>
      </c>
      <c r="AD39" s="11" t="s">
        <v>253</v>
      </c>
      <c r="AE39" s="47" t="s">
        <v>408</v>
      </c>
      <c r="AF39" s="2" t="s">
        <v>918</v>
      </c>
      <c r="AG39" s="47" t="s">
        <v>966</v>
      </c>
      <c r="AH39" s="11" t="s">
        <v>920</v>
      </c>
      <c r="AI39" s="49" t="s">
        <v>922</v>
      </c>
      <c r="AJ39" s="11"/>
      <c r="AK39" s="8">
        <v>5.5</v>
      </c>
      <c r="AL39" s="8">
        <v>23.2</v>
      </c>
      <c r="AM39" s="8" t="s">
        <v>101</v>
      </c>
      <c r="AN39" s="8" t="s">
        <v>101</v>
      </c>
      <c r="AO39" s="8">
        <v>153</v>
      </c>
      <c r="AP39" s="8" t="s">
        <v>101</v>
      </c>
      <c r="AQ39" s="8" t="s">
        <v>101</v>
      </c>
      <c r="AR39" s="8">
        <v>23</v>
      </c>
      <c r="AS39" s="8" t="s">
        <v>101</v>
      </c>
      <c r="AT39" s="11">
        <f>((AO39-AR39)/AO39)*100</f>
        <v>84.967320261437905</v>
      </c>
      <c r="AU39" s="47">
        <v>84.967320261437905</v>
      </c>
      <c r="AV39" s="8" t="s">
        <v>101</v>
      </c>
      <c r="AW39" s="11" t="s">
        <v>255</v>
      </c>
    </row>
    <row r="40" spans="1:50" ht="27.75" customHeight="1" thickTop="1" x14ac:dyDescent="0.35">
      <c r="A40" s="1">
        <v>16</v>
      </c>
      <c r="B40" s="2" t="s">
        <v>257</v>
      </c>
      <c r="C40" s="2" t="s">
        <v>258</v>
      </c>
      <c r="D40" s="2" t="s">
        <v>259</v>
      </c>
      <c r="E40" s="28" t="s">
        <v>870</v>
      </c>
      <c r="F40" s="2" t="s">
        <v>101</v>
      </c>
      <c r="G40" s="2" t="s">
        <v>260</v>
      </c>
      <c r="H40" s="2">
        <v>440</v>
      </c>
      <c r="I40" s="2">
        <v>90</v>
      </c>
      <c r="J40" s="2" t="s">
        <v>881</v>
      </c>
      <c r="K40" s="5">
        <v>43244</v>
      </c>
      <c r="L40" s="5">
        <v>43635</v>
      </c>
      <c r="M40" s="2" t="s">
        <v>261</v>
      </c>
      <c r="N40" s="47" t="s">
        <v>886</v>
      </c>
      <c r="O40" s="2" t="s">
        <v>262</v>
      </c>
      <c r="P40" s="47" t="s">
        <v>534</v>
      </c>
      <c r="Q40" s="26" t="s">
        <v>93</v>
      </c>
      <c r="R40" s="26" t="s">
        <v>234</v>
      </c>
      <c r="S40" s="1" t="s">
        <v>101</v>
      </c>
      <c r="T40" s="1" t="s">
        <v>101</v>
      </c>
      <c r="U40" s="1" t="s">
        <v>101</v>
      </c>
      <c r="V40" s="1">
        <v>6.9</v>
      </c>
      <c r="W40" s="2">
        <v>45</v>
      </c>
      <c r="X40" s="47">
        <v>164</v>
      </c>
      <c r="Y40" s="15">
        <v>43633</v>
      </c>
      <c r="Z40" s="15"/>
      <c r="AA40" s="2" t="s">
        <v>268</v>
      </c>
      <c r="AB40" s="2" t="s">
        <v>267</v>
      </c>
      <c r="AC40" s="2" t="s">
        <v>898</v>
      </c>
      <c r="AD40" s="2" t="s">
        <v>265</v>
      </c>
      <c r="AE40" s="47" t="s">
        <v>936</v>
      </c>
      <c r="AF40" s="2" t="s">
        <v>926</v>
      </c>
      <c r="AG40" s="47" t="s">
        <v>936</v>
      </c>
      <c r="AH40" s="2" t="s">
        <v>263</v>
      </c>
      <c r="AI40" s="47"/>
      <c r="AK40" s="1">
        <v>6.9</v>
      </c>
      <c r="AL40" s="1">
        <v>7.8</v>
      </c>
      <c r="AM40" s="1" t="s">
        <v>101</v>
      </c>
      <c r="AN40" s="1" t="s">
        <v>101</v>
      </c>
      <c r="AO40" s="1">
        <v>24</v>
      </c>
      <c r="AP40" s="1" t="s">
        <v>101</v>
      </c>
      <c r="AQ40" s="1" t="s">
        <v>101</v>
      </c>
      <c r="AR40" s="1">
        <v>24</v>
      </c>
      <c r="AS40" s="1" t="s">
        <v>101</v>
      </c>
      <c r="AT40" s="2">
        <v>0</v>
      </c>
      <c r="AU40" s="47">
        <v>0</v>
      </c>
      <c r="AV40" s="1" t="s">
        <v>101</v>
      </c>
      <c r="AW40" s="2" t="s">
        <v>269</v>
      </c>
    </row>
    <row r="41" spans="1:50" ht="27.75" customHeight="1" x14ac:dyDescent="0.35">
      <c r="A41" s="1">
        <v>16</v>
      </c>
      <c r="B41" s="2" t="s">
        <v>257</v>
      </c>
      <c r="C41" s="2" t="s">
        <v>258</v>
      </c>
      <c r="D41" s="2" t="s">
        <v>259</v>
      </c>
      <c r="E41" s="28" t="s">
        <v>870</v>
      </c>
      <c r="F41" s="2" t="s">
        <v>101</v>
      </c>
      <c r="G41" s="2" t="s">
        <v>260</v>
      </c>
      <c r="H41" s="2">
        <v>440</v>
      </c>
      <c r="I41" s="2">
        <v>90</v>
      </c>
      <c r="J41" s="2" t="s">
        <v>881</v>
      </c>
      <c r="K41" s="5">
        <v>43244</v>
      </c>
      <c r="L41" s="5">
        <v>43635</v>
      </c>
      <c r="M41" s="2" t="s">
        <v>261</v>
      </c>
      <c r="N41" s="47" t="s">
        <v>886</v>
      </c>
      <c r="O41" s="2" t="s">
        <v>262</v>
      </c>
      <c r="P41" s="47" t="s">
        <v>534</v>
      </c>
      <c r="Q41" s="26" t="s">
        <v>93</v>
      </c>
      <c r="R41" s="26">
        <v>7.8</v>
      </c>
      <c r="S41" s="1" t="s">
        <v>101</v>
      </c>
      <c r="T41" s="1" t="s">
        <v>101</v>
      </c>
      <c r="U41" s="1" t="s">
        <v>101</v>
      </c>
      <c r="V41" s="1">
        <v>6.9</v>
      </c>
      <c r="W41" s="2">
        <v>45</v>
      </c>
      <c r="X41" s="47">
        <v>164</v>
      </c>
      <c r="Y41" s="15">
        <v>43633</v>
      </c>
      <c r="Z41" s="15"/>
      <c r="AA41" s="2" t="s">
        <v>268</v>
      </c>
      <c r="AB41" s="2" t="s">
        <v>267</v>
      </c>
      <c r="AC41" s="2" t="s">
        <v>898</v>
      </c>
      <c r="AD41" s="2" t="s">
        <v>265</v>
      </c>
      <c r="AE41" s="47" t="s">
        <v>936</v>
      </c>
      <c r="AF41" s="2" t="s">
        <v>926</v>
      </c>
      <c r="AG41" s="47" t="s">
        <v>936</v>
      </c>
      <c r="AH41" s="2" t="s">
        <v>264</v>
      </c>
      <c r="AI41" s="47" t="s">
        <v>924</v>
      </c>
      <c r="AK41" s="1">
        <v>5.0999999999999996</v>
      </c>
      <c r="AL41" s="1">
        <v>6.8</v>
      </c>
      <c r="AM41" s="1" t="s">
        <v>101</v>
      </c>
      <c r="AN41" s="1" t="s">
        <v>101</v>
      </c>
      <c r="AO41" s="1">
        <v>24</v>
      </c>
      <c r="AP41" s="1" t="s">
        <v>101</v>
      </c>
      <c r="AQ41" s="1" t="s">
        <v>101</v>
      </c>
      <c r="AR41" s="1">
        <v>2</v>
      </c>
      <c r="AS41" s="1" t="s">
        <v>101</v>
      </c>
      <c r="AT41" s="2">
        <v>91.6</v>
      </c>
      <c r="AU41" s="47">
        <v>91.6</v>
      </c>
      <c r="AV41" s="1" t="s">
        <v>101</v>
      </c>
      <c r="AW41" s="2" t="s">
        <v>269</v>
      </c>
    </row>
    <row r="42" spans="1:50" s="8" customFormat="1" ht="27.75" customHeight="1" thickBot="1" x14ac:dyDescent="0.4">
      <c r="A42" s="8">
        <v>16</v>
      </c>
      <c r="B42" s="11" t="s">
        <v>257</v>
      </c>
      <c r="C42" s="11" t="s">
        <v>258</v>
      </c>
      <c r="D42" s="11" t="s">
        <v>259</v>
      </c>
      <c r="E42" s="29" t="s">
        <v>870</v>
      </c>
      <c r="F42" s="11" t="s">
        <v>101</v>
      </c>
      <c r="G42" s="11" t="s">
        <v>260</v>
      </c>
      <c r="H42" s="2">
        <v>440</v>
      </c>
      <c r="I42" s="2">
        <v>90</v>
      </c>
      <c r="J42" s="2" t="s">
        <v>881</v>
      </c>
      <c r="K42" s="9">
        <v>43244</v>
      </c>
      <c r="L42" s="9">
        <v>43635</v>
      </c>
      <c r="M42" s="11" t="s">
        <v>261</v>
      </c>
      <c r="N42" s="47" t="s">
        <v>886</v>
      </c>
      <c r="O42" s="11" t="s">
        <v>262</v>
      </c>
      <c r="P42" s="47" t="s">
        <v>534</v>
      </c>
      <c r="Q42" s="27" t="s">
        <v>93</v>
      </c>
      <c r="R42" s="27">
        <v>7.8</v>
      </c>
      <c r="S42" s="8" t="s">
        <v>101</v>
      </c>
      <c r="T42" s="8" t="s">
        <v>101</v>
      </c>
      <c r="U42" s="8" t="s">
        <v>101</v>
      </c>
      <c r="V42" s="8">
        <v>6.9</v>
      </c>
      <c r="W42" s="11">
        <v>49</v>
      </c>
      <c r="X42" s="49">
        <v>144</v>
      </c>
      <c r="Y42" s="17">
        <v>43633</v>
      </c>
      <c r="Z42" s="17"/>
      <c r="AA42" s="11" t="s">
        <v>268</v>
      </c>
      <c r="AB42" s="11" t="s">
        <v>267</v>
      </c>
      <c r="AC42" s="2" t="s">
        <v>898</v>
      </c>
      <c r="AD42" s="11" t="s">
        <v>265</v>
      </c>
      <c r="AE42" s="47" t="s">
        <v>936</v>
      </c>
      <c r="AF42" s="2" t="s">
        <v>926</v>
      </c>
      <c r="AG42" s="47" t="s">
        <v>936</v>
      </c>
      <c r="AH42" s="11" t="s">
        <v>266</v>
      </c>
      <c r="AI42" s="49" t="s">
        <v>925</v>
      </c>
      <c r="AJ42" s="11"/>
      <c r="AK42" s="8">
        <v>5.3</v>
      </c>
      <c r="AL42" s="8">
        <v>7</v>
      </c>
      <c r="AM42" s="8" t="s">
        <v>101</v>
      </c>
      <c r="AN42" s="8" t="s">
        <v>101</v>
      </c>
      <c r="AO42" s="8">
        <v>24</v>
      </c>
      <c r="AP42" s="8" t="s">
        <v>101</v>
      </c>
      <c r="AQ42" s="8" t="s">
        <v>101</v>
      </c>
      <c r="AR42" s="8">
        <v>2</v>
      </c>
      <c r="AS42" s="8" t="s">
        <v>101</v>
      </c>
      <c r="AT42" s="11">
        <v>91.6</v>
      </c>
      <c r="AU42" s="49">
        <v>91.6</v>
      </c>
      <c r="AV42" s="8" t="s">
        <v>101</v>
      </c>
      <c r="AW42" s="11" t="s">
        <v>269</v>
      </c>
    </row>
    <row r="43" spans="1:50" ht="27.75" customHeight="1" thickTop="1" x14ac:dyDescent="0.35">
      <c r="A43" s="1">
        <v>17</v>
      </c>
      <c r="B43" s="2" t="s">
        <v>932</v>
      </c>
      <c r="C43" s="2" t="s">
        <v>931</v>
      </c>
      <c r="D43" s="2" t="s">
        <v>270</v>
      </c>
      <c r="E43" s="2" t="s">
        <v>271</v>
      </c>
      <c r="F43" s="2" t="s">
        <v>101</v>
      </c>
      <c r="G43" s="2" t="s">
        <v>273</v>
      </c>
      <c r="J43" s="2" t="s">
        <v>881</v>
      </c>
      <c r="K43" s="5" t="s">
        <v>274</v>
      </c>
      <c r="L43" s="5" t="s">
        <v>275</v>
      </c>
      <c r="M43" s="2" t="s">
        <v>272</v>
      </c>
      <c r="N43" s="47" t="s">
        <v>884</v>
      </c>
      <c r="O43" s="2" t="s">
        <v>276</v>
      </c>
      <c r="P43" s="47" t="s">
        <v>256</v>
      </c>
      <c r="Q43" s="26" t="s">
        <v>319</v>
      </c>
      <c r="R43" s="26"/>
      <c r="X43" s="47"/>
      <c r="Y43" s="15"/>
      <c r="Z43" s="15"/>
      <c r="AD43" s="2" t="s">
        <v>281</v>
      </c>
      <c r="AE43" s="47" t="s">
        <v>408</v>
      </c>
      <c r="AF43" s="2" t="s">
        <v>923</v>
      </c>
      <c r="AG43" s="47" t="s">
        <v>966</v>
      </c>
      <c r="AH43" s="2" t="s">
        <v>277</v>
      </c>
      <c r="AI43" s="47" t="s">
        <v>927</v>
      </c>
      <c r="AO43" s="1">
        <v>41</v>
      </c>
      <c r="AR43" s="1">
        <v>40</v>
      </c>
      <c r="AT43" s="45">
        <f>100*(AO43-AR43)/AO43</f>
        <v>2.4390243902439024</v>
      </c>
      <c r="AU43" s="59">
        <v>2.4390243902439024</v>
      </c>
    </row>
    <row r="44" spans="1:50" ht="27.75" customHeight="1" x14ac:dyDescent="0.35">
      <c r="A44" s="1">
        <v>17</v>
      </c>
      <c r="B44" s="2" t="s">
        <v>932</v>
      </c>
      <c r="C44" s="2" t="s">
        <v>931</v>
      </c>
      <c r="D44" s="2" t="s">
        <v>270</v>
      </c>
      <c r="E44" s="2" t="s">
        <v>271</v>
      </c>
      <c r="F44" s="2" t="s">
        <v>101</v>
      </c>
      <c r="G44" s="2" t="s">
        <v>273</v>
      </c>
      <c r="J44" s="2" t="s">
        <v>881</v>
      </c>
      <c r="K44" s="5" t="s">
        <v>274</v>
      </c>
      <c r="L44" s="5" t="s">
        <v>275</v>
      </c>
      <c r="M44" s="2" t="s">
        <v>272</v>
      </c>
      <c r="N44" s="47" t="s">
        <v>884</v>
      </c>
      <c r="O44" s="2" t="s">
        <v>276</v>
      </c>
      <c r="P44" s="47" t="s">
        <v>256</v>
      </c>
      <c r="Q44" s="26" t="s">
        <v>319</v>
      </c>
      <c r="R44" s="26"/>
      <c r="X44" s="47"/>
      <c r="Y44" s="15"/>
      <c r="Z44" s="15"/>
      <c r="AD44" s="18" t="s">
        <v>282</v>
      </c>
      <c r="AE44" s="47" t="s">
        <v>408</v>
      </c>
      <c r="AF44" s="2" t="s">
        <v>923</v>
      </c>
      <c r="AG44" s="47" t="s">
        <v>966</v>
      </c>
      <c r="AH44" s="2" t="s">
        <v>278</v>
      </c>
      <c r="AI44" s="47" t="s">
        <v>928</v>
      </c>
      <c r="AO44" s="1">
        <v>41</v>
      </c>
      <c r="AR44" s="1">
        <v>38</v>
      </c>
      <c r="AT44" s="45">
        <f t="shared" ref="AT44:AT46" si="3">100*(AO44-AR44)/AO44</f>
        <v>7.3170731707317076</v>
      </c>
      <c r="AU44" s="59">
        <v>7.3170731707317076</v>
      </c>
    </row>
    <row r="45" spans="1:50" ht="27.75" customHeight="1" x14ac:dyDescent="0.35">
      <c r="A45" s="1">
        <v>17</v>
      </c>
      <c r="B45" s="2" t="s">
        <v>932</v>
      </c>
      <c r="C45" s="2" t="s">
        <v>931</v>
      </c>
      <c r="D45" s="2" t="s">
        <v>270</v>
      </c>
      <c r="E45" s="2" t="s">
        <v>271</v>
      </c>
      <c r="F45" s="2" t="s">
        <v>101</v>
      </c>
      <c r="G45" s="2" t="s">
        <v>273</v>
      </c>
      <c r="J45" s="2" t="s">
        <v>881</v>
      </c>
      <c r="K45" s="5" t="s">
        <v>274</v>
      </c>
      <c r="L45" s="5" t="s">
        <v>275</v>
      </c>
      <c r="M45" s="2" t="s">
        <v>272</v>
      </c>
      <c r="N45" s="47" t="s">
        <v>884</v>
      </c>
      <c r="O45" s="2" t="s">
        <v>276</v>
      </c>
      <c r="P45" s="47" t="s">
        <v>256</v>
      </c>
      <c r="Q45" s="26" t="s">
        <v>319</v>
      </c>
      <c r="R45" s="26"/>
      <c r="X45" s="47"/>
      <c r="Y45" s="15"/>
      <c r="Z45" s="15"/>
      <c r="AD45" s="2" t="s">
        <v>283</v>
      </c>
      <c r="AE45" s="47" t="s">
        <v>408</v>
      </c>
      <c r="AF45" s="2" t="s">
        <v>923</v>
      </c>
      <c r="AG45" s="47" t="s">
        <v>966</v>
      </c>
      <c r="AH45" s="2" t="s">
        <v>279</v>
      </c>
      <c r="AI45" s="47" t="s">
        <v>930</v>
      </c>
      <c r="AO45" s="1">
        <v>41</v>
      </c>
      <c r="AR45" s="1">
        <v>38</v>
      </c>
      <c r="AT45" s="45">
        <f t="shared" si="3"/>
        <v>7.3170731707317076</v>
      </c>
      <c r="AU45" s="59">
        <v>7.3170731707317076</v>
      </c>
    </row>
    <row r="46" spans="1:50" s="8" customFormat="1" ht="27.75" customHeight="1" thickBot="1" x14ac:dyDescent="0.4">
      <c r="A46" s="8">
        <v>17</v>
      </c>
      <c r="B46" s="2" t="s">
        <v>932</v>
      </c>
      <c r="C46" s="2" t="s">
        <v>931</v>
      </c>
      <c r="D46" s="11" t="s">
        <v>270</v>
      </c>
      <c r="E46" s="11" t="s">
        <v>271</v>
      </c>
      <c r="F46" s="11" t="s">
        <v>101</v>
      </c>
      <c r="G46" s="11" t="s">
        <v>273</v>
      </c>
      <c r="H46" s="11"/>
      <c r="I46" s="11"/>
      <c r="J46" s="2" t="s">
        <v>881</v>
      </c>
      <c r="K46" s="9" t="s">
        <v>274</v>
      </c>
      <c r="L46" s="9" t="s">
        <v>275</v>
      </c>
      <c r="M46" s="11" t="s">
        <v>272</v>
      </c>
      <c r="N46" s="47" t="s">
        <v>884</v>
      </c>
      <c r="O46" s="11" t="s">
        <v>276</v>
      </c>
      <c r="P46" s="47" t="s">
        <v>256</v>
      </c>
      <c r="Q46" s="26" t="s">
        <v>319</v>
      </c>
      <c r="R46" s="27"/>
      <c r="W46" s="11"/>
      <c r="X46" s="49"/>
      <c r="Y46" s="17"/>
      <c r="Z46" s="17"/>
      <c r="AA46" s="11"/>
      <c r="AB46" s="11"/>
      <c r="AC46" s="11"/>
      <c r="AD46" s="11" t="s">
        <v>284</v>
      </c>
      <c r="AE46" s="47" t="s">
        <v>408</v>
      </c>
      <c r="AF46" s="2" t="s">
        <v>923</v>
      </c>
      <c r="AG46" s="47" t="s">
        <v>966</v>
      </c>
      <c r="AH46" s="11" t="s">
        <v>280</v>
      </c>
      <c r="AI46" s="49" t="s">
        <v>929</v>
      </c>
      <c r="AJ46" s="11"/>
      <c r="AO46" s="1">
        <v>41</v>
      </c>
      <c r="AR46" s="8">
        <v>37</v>
      </c>
      <c r="AT46" s="45">
        <f t="shared" si="3"/>
        <v>9.7560975609756095</v>
      </c>
      <c r="AU46" s="60">
        <v>9.7560975609756095</v>
      </c>
      <c r="AW46" s="11"/>
    </row>
    <row r="47" spans="1:50" ht="27.75" customHeight="1" thickTop="1" x14ac:dyDescent="0.35">
      <c r="A47" s="1">
        <v>18</v>
      </c>
      <c r="B47" s="2" t="s">
        <v>285</v>
      </c>
      <c r="C47" s="2" t="s">
        <v>286</v>
      </c>
      <c r="D47" s="2" t="s">
        <v>301</v>
      </c>
      <c r="E47" s="28" t="s">
        <v>871</v>
      </c>
      <c r="F47" s="2" t="s">
        <v>101</v>
      </c>
      <c r="G47" s="2" t="s">
        <v>101</v>
      </c>
      <c r="K47" s="1">
        <v>2021</v>
      </c>
      <c r="L47" s="1">
        <v>2022</v>
      </c>
      <c r="M47" s="2" t="s">
        <v>101</v>
      </c>
      <c r="N47" s="47" t="s">
        <v>914</v>
      </c>
      <c r="O47" s="2" t="s">
        <v>307</v>
      </c>
      <c r="P47" s="47" t="s">
        <v>534</v>
      </c>
      <c r="Q47" s="26" t="s">
        <v>93</v>
      </c>
      <c r="R47" s="26" t="s">
        <v>101</v>
      </c>
      <c r="S47" s="1" t="s">
        <v>101</v>
      </c>
      <c r="T47" s="1" t="s">
        <v>101</v>
      </c>
      <c r="U47" s="1" t="s">
        <v>101</v>
      </c>
      <c r="V47" s="1" t="s">
        <v>101</v>
      </c>
      <c r="W47" s="1" t="s">
        <v>101</v>
      </c>
      <c r="X47" s="47">
        <v>85</v>
      </c>
      <c r="Y47" s="2" t="s">
        <v>101</v>
      </c>
      <c r="AA47" s="2" t="s">
        <v>306</v>
      </c>
      <c r="AB47" s="2" t="s">
        <v>302</v>
      </c>
      <c r="AC47" s="2" t="s">
        <v>895</v>
      </c>
      <c r="AD47" s="2" t="s">
        <v>305</v>
      </c>
      <c r="AE47" s="47" t="s">
        <v>1035</v>
      </c>
      <c r="AF47" s="1" t="s">
        <v>303</v>
      </c>
      <c r="AG47" s="47" t="s">
        <v>966</v>
      </c>
      <c r="AH47" s="2" t="s">
        <v>101</v>
      </c>
      <c r="AI47" s="47"/>
      <c r="AK47" s="2" t="s">
        <v>101</v>
      </c>
      <c r="AL47" s="2" t="s">
        <v>101</v>
      </c>
      <c r="AM47" s="2" t="s">
        <v>101</v>
      </c>
      <c r="AN47" s="2" t="s">
        <v>101</v>
      </c>
      <c r="AO47" s="2" t="s">
        <v>101</v>
      </c>
      <c r="AP47" s="1" t="s">
        <v>101</v>
      </c>
      <c r="AQ47" s="1" t="s">
        <v>101</v>
      </c>
      <c r="AR47" s="1" t="s">
        <v>101</v>
      </c>
      <c r="AS47" s="1" t="s">
        <v>101</v>
      </c>
      <c r="AT47" s="2">
        <v>60</v>
      </c>
      <c r="AU47" s="47">
        <v>60</v>
      </c>
      <c r="AV47" s="1" t="s">
        <v>101</v>
      </c>
      <c r="AW47" s="2" t="s">
        <v>484</v>
      </c>
    </row>
    <row r="48" spans="1:50" s="8" customFormat="1" ht="27.75" customHeight="1" thickBot="1" x14ac:dyDescent="0.4">
      <c r="A48" s="8">
        <v>18</v>
      </c>
      <c r="B48" s="11" t="s">
        <v>285</v>
      </c>
      <c r="C48" s="11" t="s">
        <v>286</v>
      </c>
      <c r="D48" s="11" t="s">
        <v>301</v>
      </c>
      <c r="E48" s="29" t="s">
        <v>871</v>
      </c>
      <c r="F48" s="11" t="s">
        <v>101</v>
      </c>
      <c r="G48" s="11" t="s">
        <v>101</v>
      </c>
      <c r="H48" s="11"/>
      <c r="I48" s="11"/>
      <c r="J48" s="11"/>
      <c r="K48" s="8">
        <v>2021</v>
      </c>
      <c r="L48" s="8">
        <v>2022</v>
      </c>
      <c r="M48" s="11" t="s">
        <v>101</v>
      </c>
      <c r="N48" s="47" t="s">
        <v>914</v>
      </c>
      <c r="O48" s="11" t="s">
        <v>307</v>
      </c>
      <c r="P48" s="47" t="s">
        <v>534</v>
      </c>
      <c r="Q48" s="27" t="s">
        <v>93</v>
      </c>
      <c r="R48" s="27" t="s">
        <v>101</v>
      </c>
      <c r="S48" s="8" t="s">
        <v>101</v>
      </c>
      <c r="T48" s="8" t="s">
        <v>101</v>
      </c>
      <c r="U48" s="8" t="s">
        <v>101</v>
      </c>
      <c r="V48" s="8" t="s">
        <v>101</v>
      </c>
      <c r="W48" s="8" t="s">
        <v>101</v>
      </c>
      <c r="X48" s="49">
        <v>85</v>
      </c>
      <c r="Y48" s="11" t="s">
        <v>101</v>
      </c>
      <c r="Z48" s="11"/>
      <c r="AA48" s="11" t="s">
        <v>306</v>
      </c>
      <c r="AB48" s="11" t="s">
        <v>302</v>
      </c>
      <c r="AC48" s="2" t="s">
        <v>895</v>
      </c>
      <c r="AD48" s="11" t="s">
        <v>304</v>
      </c>
      <c r="AE48" s="49" t="s">
        <v>1035</v>
      </c>
      <c r="AF48" s="8" t="s">
        <v>303</v>
      </c>
      <c r="AG48" s="47" t="s">
        <v>966</v>
      </c>
      <c r="AH48" s="11" t="s">
        <v>101</v>
      </c>
      <c r="AI48" s="49"/>
      <c r="AJ48" s="11"/>
      <c r="AK48" s="11" t="s">
        <v>101</v>
      </c>
      <c r="AL48" s="11" t="s">
        <v>101</v>
      </c>
      <c r="AM48" s="11" t="s">
        <v>101</v>
      </c>
      <c r="AN48" s="11" t="s">
        <v>101</v>
      </c>
      <c r="AO48" s="11" t="s">
        <v>101</v>
      </c>
      <c r="AP48" s="8" t="s">
        <v>101</v>
      </c>
      <c r="AQ48" s="8" t="s">
        <v>101</v>
      </c>
      <c r="AR48" s="8" t="s">
        <v>101</v>
      </c>
      <c r="AS48" s="8" t="s">
        <v>101</v>
      </c>
      <c r="AT48" s="11">
        <v>68</v>
      </c>
      <c r="AU48" s="49">
        <v>68</v>
      </c>
      <c r="AV48" s="8" t="s">
        <v>101</v>
      </c>
      <c r="AW48" s="11" t="s">
        <v>484</v>
      </c>
    </row>
    <row r="49" spans="1:50" ht="27.75" customHeight="1" thickTop="1" x14ac:dyDescent="0.35">
      <c r="A49" s="1">
        <v>20</v>
      </c>
      <c r="B49" s="2" t="s">
        <v>309</v>
      </c>
      <c r="C49" s="2" t="s">
        <v>310</v>
      </c>
      <c r="D49" s="2" t="s">
        <v>317</v>
      </c>
      <c r="E49" s="28" t="s">
        <v>872</v>
      </c>
      <c r="F49" s="2" t="s">
        <v>313</v>
      </c>
      <c r="G49" s="2" t="s">
        <v>312</v>
      </c>
      <c r="H49" s="2">
        <v>269</v>
      </c>
      <c r="I49" s="2">
        <v>388</v>
      </c>
      <c r="J49" s="2" t="s">
        <v>881</v>
      </c>
      <c r="K49" s="5" t="s">
        <v>315</v>
      </c>
      <c r="L49" s="5" t="s">
        <v>316</v>
      </c>
      <c r="M49" s="2" t="s">
        <v>101</v>
      </c>
      <c r="N49" s="47" t="s">
        <v>914</v>
      </c>
      <c r="O49" s="2" t="s">
        <v>320</v>
      </c>
      <c r="P49" s="47" t="s">
        <v>889</v>
      </c>
      <c r="Q49" s="26" t="s">
        <v>93</v>
      </c>
      <c r="R49" s="26" t="s">
        <v>101</v>
      </c>
      <c r="S49" s="1" t="s">
        <v>101</v>
      </c>
      <c r="T49" s="1" t="s">
        <v>101</v>
      </c>
      <c r="U49" s="1" t="s">
        <v>101</v>
      </c>
      <c r="V49" s="1" t="s">
        <v>101</v>
      </c>
      <c r="W49" s="2">
        <v>26</v>
      </c>
      <c r="X49" s="47">
        <v>100</v>
      </c>
      <c r="Y49" s="15" t="s">
        <v>331</v>
      </c>
      <c r="Z49" s="15"/>
      <c r="AA49" s="2" t="s">
        <v>311</v>
      </c>
      <c r="AB49" s="2" t="s">
        <v>321</v>
      </c>
      <c r="AC49" s="2" t="s">
        <v>899</v>
      </c>
      <c r="AD49" s="1" t="s">
        <v>101</v>
      </c>
      <c r="AE49" s="26" t="s">
        <v>914</v>
      </c>
      <c r="AF49" s="2" t="s">
        <v>322</v>
      </c>
      <c r="AG49" s="47" t="s">
        <v>966</v>
      </c>
      <c r="AH49" s="2" t="s">
        <v>325</v>
      </c>
      <c r="AI49" s="47" t="s">
        <v>935</v>
      </c>
      <c r="AK49" s="1" t="s">
        <v>101</v>
      </c>
      <c r="AL49" s="1" t="s">
        <v>101</v>
      </c>
      <c r="AM49" s="1" t="s">
        <v>101</v>
      </c>
      <c r="AO49" s="1">
        <v>4.3</v>
      </c>
      <c r="AP49" s="1" t="s">
        <v>101</v>
      </c>
      <c r="AR49" s="1">
        <v>6.2</v>
      </c>
      <c r="AS49" s="1" t="s">
        <v>101</v>
      </c>
      <c r="AT49" s="2">
        <f>100*(AO49-AR49)/AO49</f>
        <v>-44.186046511627914</v>
      </c>
      <c r="AU49" s="47">
        <v>-44.186046511627914</v>
      </c>
      <c r="AV49" s="2" t="s">
        <v>101</v>
      </c>
      <c r="AW49" s="2" t="s">
        <v>333</v>
      </c>
      <c r="AX49" s="1" t="s">
        <v>332</v>
      </c>
    </row>
    <row r="50" spans="1:50" ht="27.75" customHeight="1" x14ac:dyDescent="0.35">
      <c r="A50" s="1">
        <v>20</v>
      </c>
      <c r="B50" s="2" t="s">
        <v>309</v>
      </c>
      <c r="C50" s="2" t="s">
        <v>310</v>
      </c>
      <c r="D50" s="2" t="s">
        <v>317</v>
      </c>
      <c r="E50" s="28" t="s">
        <v>872</v>
      </c>
      <c r="F50" s="2" t="s">
        <v>313</v>
      </c>
      <c r="G50" s="2" t="s">
        <v>312</v>
      </c>
      <c r="H50" s="2">
        <v>269</v>
      </c>
      <c r="I50" s="2">
        <v>388</v>
      </c>
      <c r="J50" s="2" t="s">
        <v>881</v>
      </c>
      <c r="K50" s="5" t="s">
        <v>315</v>
      </c>
      <c r="L50" s="5" t="s">
        <v>316</v>
      </c>
      <c r="M50" s="2" t="s">
        <v>101</v>
      </c>
      <c r="N50" s="47" t="s">
        <v>914</v>
      </c>
      <c r="O50" s="2" t="s">
        <v>320</v>
      </c>
      <c r="P50" s="47" t="s">
        <v>889</v>
      </c>
      <c r="Q50" s="26" t="s">
        <v>93</v>
      </c>
      <c r="R50" s="26" t="s">
        <v>101</v>
      </c>
      <c r="S50" s="1" t="s">
        <v>101</v>
      </c>
      <c r="T50" s="1" t="s">
        <v>101</v>
      </c>
      <c r="U50" s="1" t="s">
        <v>101</v>
      </c>
      <c r="V50" s="1" t="s">
        <v>101</v>
      </c>
      <c r="W50" s="2">
        <v>26</v>
      </c>
      <c r="X50" s="47">
        <v>100</v>
      </c>
      <c r="Y50" s="15" t="s">
        <v>331</v>
      </c>
      <c r="Z50" s="15"/>
      <c r="AA50" s="2" t="s">
        <v>311</v>
      </c>
      <c r="AB50" s="2" t="s">
        <v>321</v>
      </c>
      <c r="AC50" s="2" t="s">
        <v>899</v>
      </c>
      <c r="AD50" s="1" t="s">
        <v>101</v>
      </c>
      <c r="AE50" s="26" t="s">
        <v>914</v>
      </c>
      <c r="AF50" s="2" t="s">
        <v>322</v>
      </c>
      <c r="AG50" s="47" t="s">
        <v>966</v>
      </c>
      <c r="AH50" s="2" t="s">
        <v>326</v>
      </c>
      <c r="AI50" s="47" t="s">
        <v>935</v>
      </c>
      <c r="AK50" s="1" t="s">
        <v>101</v>
      </c>
      <c r="AL50" s="1" t="s">
        <v>101</v>
      </c>
      <c r="AM50" s="1" t="s">
        <v>101</v>
      </c>
      <c r="AO50" s="1">
        <v>4.3</v>
      </c>
      <c r="AP50" s="1" t="s">
        <v>101</v>
      </c>
      <c r="AR50" s="1">
        <v>5</v>
      </c>
      <c r="AS50" s="1" t="s">
        <v>101</v>
      </c>
      <c r="AT50" s="2">
        <f t="shared" ref="AT50:AT51" si="4">100*(AO50-AR50)/AO50</f>
        <v>-16.279069767441865</v>
      </c>
      <c r="AU50" s="47">
        <v>-16.279069767441865</v>
      </c>
      <c r="AV50" s="2" t="s">
        <v>101</v>
      </c>
      <c r="AW50" s="2" t="s">
        <v>333</v>
      </c>
    </row>
    <row r="51" spans="1:50" ht="27.75" customHeight="1" x14ac:dyDescent="0.35">
      <c r="A51" s="1">
        <v>20</v>
      </c>
      <c r="B51" s="2" t="s">
        <v>309</v>
      </c>
      <c r="C51" s="2" t="s">
        <v>310</v>
      </c>
      <c r="D51" s="2" t="s">
        <v>317</v>
      </c>
      <c r="E51" s="28" t="s">
        <v>872</v>
      </c>
      <c r="F51" s="2" t="s">
        <v>313</v>
      </c>
      <c r="G51" s="2" t="s">
        <v>312</v>
      </c>
      <c r="H51" s="2">
        <v>269</v>
      </c>
      <c r="I51" s="2">
        <v>388</v>
      </c>
      <c r="J51" s="2" t="s">
        <v>881</v>
      </c>
      <c r="K51" s="5" t="s">
        <v>315</v>
      </c>
      <c r="L51" s="5" t="s">
        <v>316</v>
      </c>
      <c r="M51" s="2" t="s">
        <v>101</v>
      </c>
      <c r="N51" s="47" t="s">
        <v>914</v>
      </c>
      <c r="O51" s="2" t="s">
        <v>320</v>
      </c>
      <c r="P51" s="47" t="s">
        <v>889</v>
      </c>
      <c r="Q51" s="26" t="s">
        <v>93</v>
      </c>
      <c r="R51" s="26" t="s">
        <v>101</v>
      </c>
      <c r="S51" s="1" t="s">
        <v>101</v>
      </c>
      <c r="T51" s="1" t="s">
        <v>101</v>
      </c>
      <c r="U51" s="1" t="s">
        <v>101</v>
      </c>
      <c r="V51" s="1" t="s">
        <v>101</v>
      </c>
      <c r="W51" s="2">
        <v>26</v>
      </c>
      <c r="X51" s="47">
        <v>100</v>
      </c>
      <c r="Y51" s="15" t="s">
        <v>331</v>
      </c>
      <c r="Z51" s="15"/>
      <c r="AA51" s="2" t="s">
        <v>311</v>
      </c>
      <c r="AB51" s="2" t="s">
        <v>321</v>
      </c>
      <c r="AC51" s="2" t="s">
        <v>899</v>
      </c>
      <c r="AD51" s="1" t="s">
        <v>101</v>
      </c>
      <c r="AE51" s="26" t="s">
        <v>914</v>
      </c>
      <c r="AF51" s="2" t="s">
        <v>322</v>
      </c>
      <c r="AG51" s="47" t="s">
        <v>966</v>
      </c>
      <c r="AH51" s="2" t="s">
        <v>327</v>
      </c>
      <c r="AI51" s="47" t="s">
        <v>935</v>
      </c>
      <c r="AK51" s="1" t="s">
        <v>101</v>
      </c>
      <c r="AL51" s="1" t="s">
        <v>101</v>
      </c>
      <c r="AM51" s="1" t="s">
        <v>101</v>
      </c>
      <c r="AO51" s="1">
        <v>4.3</v>
      </c>
      <c r="AP51" s="1" t="s">
        <v>101</v>
      </c>
      <c r="AR51" s="1">
        <v>7.3</v>
      </c>
      <c r="AS51" s="1" t="s">
        <v>101</v>
      </c>
      <c r="AT51" s="2">
        <f t="shared" si="4"/>
        <v>-69.767441860465112</v>
      </c>
      <c r="AU51" s="47">
        <v>-69.767441860465112</v>
      </c>
      <c r="AV51" s="2" t="s">
        <v>101</v>
      </c>
      <c r="AW51" s="2" t="s">
        <v>333</v>
      </c>
    </row>
    <row r="52" spans="1:50" ht="27.75" customHeight="1" x14ac:dyDescent="0.35">
      <c r="A52" s="1">
        <v>20</v>
      </c>
      <c r="B52" s="2" t="s">
        <v>309</v>
      </c>
      <c r="C52" s="2" t="s">
        <v>310</v>
      </c>
      <c r="D52" s="2" t="s">
        <v>317</v>
      </c>
      <c r="E52" s="28" t="s">
        <v>872</v>
      </c>
      <c r="F52" s="2" t="s">
        <v>313</v>
      </c>
      <c r="G52" s="2" t="s">
        <v>312</v>
      </c>
      <c r="H52" s="2">
        <v>269</v>
      </c>
      <c r="I52" s="2">
        <v>388</v>
      </c>
      <c r="J52" s="2" t="s">
        <v>881</v>
      </c>
      <c r="K52" s="5" t="s">
        <v>315</v>
      </c>
      <c r="L52" s="5" t="s">
        <v>316</v>
      </c>
      <c r="M52" s="2" t="s">
        <v>101</v>
      </c>
      <c r="N52" s="47" t="s">
        <v>914</v>
      </c>
      <c r="O52" s="2" t="s">
        <v>318</v>
      </c>
      <c r="P52" s="47" t="s">
        <v>534</v>
      </c>
      <c r="Q52" s="26" t="s">
        <v>319</v>
      </c>
      <c r="R52" s="26" t="s">
        <v>101</v>
      </c>
      <c r="S52" s="1" t="s">
        <v>101</v>
      </c>
      <c r="T52" s="1" t="s">
        <v>101</v>
      </c>
      <c r="U52" s="1" t="s">
        <v>101</v>
      </c>
      <c r="V52" s="1" t="s">
        <v>101</v>
      </c>
      <c r="W52" s="2">
        <v>98</v>
      </c>
      <c r="X52" s="47">
        <v>100</v>
      </c>
      <c r="Y52" s="15" t="s">
        <v>331</v>
      </c>
      <c r="Z52" s="15"/>
      <c r="AA52" s="2" t="s">
        <v>311</v>
      </c>
      <c r="AB52" s="2" t="s">
        <v>321</v>
      </c>
      <c r="AC52" s="2" t="s">
        <v>899</v>
      </c>
      <c r="AD52" s="1" t="s">
        <v>101</v>
      </c>
      <c r="AE52" s="26" t="s">
        <v>914</v>
      </c>
      <c r="AF52" s="2" t="s">
        <v>322</v>
      </c>
      <c r="AG52" s="47" t="s">
        <v>966</v>
      </c>
      <c r="AH52" s="2" t="s">
        <v>328</v>
      </c>
      <c r="AI52" s="47" t="s">
        <v>935</v>
      </c>
      <c r="AK52" s="1" t="s">
        <v>101</v>
      </c>
      <c r="AL52" s="1" t="s">
        <v>101</v>
      </c>
      <c r="AM52" s="1" t="s">
        <v>101</v>
      </c>
      <c r="AO52" s="1">
        <v>8.1999999999999993</v>
      </c>
      <c r="AP52" s="1" t="s">
        <v>101</v>
      </c>
      <c r="AR52" s="1">
        <v>6</v>
      </c>
      <c r="AS52" s="1" t="s">
        <v>101</v>
      </c>
      <c r="AT52" s="2">
        <f>100*(AO52-AR52)/AO52</f>
        <v>26.829268292682922</v>
      </c>
      <c r="AU52" s="47">
        <v>26.829268292682922</v>
      </c>
      <c r="AV52" s="2" t="s">
        <v>101</v>
      </c>
      <c r="AW52" s="2" t="s">
        <v>333</v>
      </c>
    </row>
    <row r="53" spans="1:50" ht="27.75" customHeight="1" x14ac:dyDescent="0.35">
      <c r="A53" s="1">
        <v>20</v>
      </c>
      <c r="B53" s="2" t="s">
        <v>309</v>
      </c>
      <c r="C53" s="2" t="s">
        <v>310</v>
      </c>
      <c r="D53" s="2" t="s">
        <v>317</v>
      </c>
      <c r="E53" s="28" t="s">
        <v>872</v>
      </c>
      <c r="F53" s="2" t="s">
        <v>313</v>
      </c>
      <c r="G53" s="2" t="s">
        <v>312</v>
      </c>
      <c r="H53" s="2">
        <v>269</v>
      </c>
      <c r="I53" s="2">
        <v>388</v>
      </c>
      <c r="J53" s="2" t="s">
        <v>881</v>
      </c>
      <c r="K53" s="5" t="s">
        <v>315</v>
      </c>
      <c r="L53" s="5" t="s">
        <v>316</v>
      </c>
      <c r="M53" s="2" t="s">
        <v>101</v>
      </c>
      <c r="N53" s="47" t="s">
        <v>914</v>
      </c>
      <c r="O53" s="2" t="s">
        <v>318</v>
      </c>
      <c r="P53" s="47" t="s">
        <v>534</v>
      </c>
      <c r="Q53" s="26" t="s">
        <v>319</v>
      </c>
      <c r="R53" s="26" t="s">
        <v>101</v>
      </c>
      <c r="S53" s="1" t="s">
        <v>101</v>
      </c>
      <c r="T53" s="1" t="s">
        <v>101</v>
      </c>
      <c r="U53" s="1" t="s">
        <v>101</v>
      </c>
      <c r="V53" s="1" t="s">
        <v>101</v>
      </c>
      <c r="W53" s="2">
        <v>98</v>
      </c>
      <c r="X53" s="47">
        <v>100</v>
      </c>
      <c r="Y53" s="15" t="s">
        <v>331</v>
      </c>
      <c r="Z53" s="15"/>
      <c r="AA53" s="2" t="s">
        <v>311</v>
      </c>
      <c r="AB53" s="2" t="s">
        <v>321</v>
      </c>
      <c r="AC53" s="2" t="s">
        <v>899</v>
      </c>
      <c r="AD53" s="1" t="s">
        <v>101</v>
      </c>
      <c r="AE53" s="26" t="s">
        <v>914</v>
      </c>
      <c r="AF53" s="2" t="s">
        <v>322</v>
      </c>
      <c r="AG53" s="47" t="s">
        <v>966</v>
      </c>
      <c r="AH53" s="2" t="s">
        <v>329</v>
      </c>
      <c r="AI53" s="47" t="s">
        <v>935</v>
      </c>
      <c r="AK53" s="1" t="s">
        <v>101</v>
      </c>
      <c r="AL53" s="1" t="s">
        <v>101</v>
      </c>
      <c r="AM53" s="1" t="s">
        <v>101</v>
      </c>
      <c r="AO53" s="1">
        <v>8.1999999999999993</v>
      </c>
      <c r="AP53" s="1" t="s">
        <v>101</v>
      </c>
      <c r="AR53" s="1">
        <v>6.2</v>
      </c>
      <c r="AS53" s="1" t="s">
        <v>101</v>
      </c>
      <c r="AT53" s="2">
        <f t="shared" ref="AT53:AT54" si="5">100*(AO53-AR53)/AO53</f>
        <v>24.390243902439018</v>
      </c>
      <c r="AU53" s="47">
        <v>24.390243902439018</v>
      </c>
      <c r="AV53" s="2" t="s">
        <v>101</v>
      </c>
      <c r="AW53" s="2" t="s">
        <v>333</v>
      </c>
    </row>
    <row r="54" spans="1:50" s="22" customFormat="1" ht="27.75" customHeight="1" x14ac:dyDescent="0.35">
      <c r="A54" s="1">
        <v>20</v>
      </c>
      <c r="B54" s="2" t="s">
        <v>309</v>
      </c>
      <c r="C54" s="2" t="s">
        <v>310</v>
      </c>
      <c r="D54" s="2" t="s">
        <v>317</v>
      </c>
      <c r="E54" s="28" t="s">
        <v>872</v>
      </c>
      <c r="F54" s="2" t="s">
        <v>313</v>
      </c>
      <c r="G54" s="2" t="s">
        <v>312</v>
      </c>
      <c r="H54" s="2">
        <v>269</v>
      </c>
      <c r="I54" s="2">
        <v>388</v>
      </c>
      <c r="J54" s="2" t="s">
        <v>881</v>
      </c>
      <c r="K54" s="5" t="s">
        <v>315</v>
      </c>
      <c r="L54" s="5" t="s">
        <v>316</v>
      </c>
      <c r="M54" s="2" t="s">
        <v>101</v>
      </c>
      <c r="N54" s="47" t="s">
        <v>914</v>
      </c>
      <c r="O54" s="2" t="s">
        <v>318</v>
      </c>
      <c r="P54" s="47" t="s">
        <v>534</v>
      </c>
      <c r="Q54" s="26" t="s">
        <v>319</v>
      </c>
      <c r="R54" s="26" t="s">
        <v>101</v>
      </c>
      <c r="S54" s="1" t="s">
        <v>101</v>
      </c>
      <c r="T54" s="1" t="s">
        <v>101</v>
      </c>
      <c r="U54" s="1" t="s">
        <v>101</v>
      </c>
      <c r="V54" s="1" t="s">
        <v>101</v>
      </c>
      <c r="W54" s="2">
        <v>98</v>
      </c>
      <c r="X54" s="47">
        <v>100</v>
      </c>
      <c r="Y54" s="15" t="s">
        <v>331</v>
      </c>
      <c r="Z54" s="15"/>
      <c r="AA54" s="2" t="s">
        <v>311</v>
      </c>
      <c r="AB54" s="2" t="s">
        <v>321</v>
      </c>
      <c r="AC54" s="2" t="s">
        <v>899</v>
      </c>
      <c r="AD54" s="1" t="s">
        <v>101</v>
      </c>
      <c r="AE54" s="26" t="s">
        <v>914</v>
      </c>
      <c r="AF54" s="2" t="s">
        <v>322</v>
      </c>
      <c r="AG54" s="47" t="s">
        <v>966</v>
      </c>
      <c r="AH54" s="23" t="s">
        <v>330</v>
      </c>
      <c r="AI54" s="47" t="s">
        <v>935</v>
      </c>
      <c r="AJ54" s="2"/>
      <c r="AK54" s="1" t="s">
        <v>101</v>
      </c>
      <c r="AL54" s="1" t="s">
        <v>101</v>
      </c>
      <c r="AM54" s="1" t="s">
        <v>101</v>
      </c>
      <c r="AN54" s="1"/>
      <c r="AO54" s="1">
        <v>8.1999999999999993</v>
      </c>
      <c r="AP54" s="1" t="s">
        <v>101</v>
      </c>
      <c r="AQ54" s="1"/>
      <c r="AR54" s="22">
        <v>10.8</v>
      </c>
      <c r="AS54" s="1" t="s">
        <v>101</v>
      </c>
      <c r="AT54" s="2">
        <f t="shared" si="5"/>
        <v>-31.707317073170749</v>
      </c>
      <c r="AU54" s="47">
        <v>-31.707317073170749</v>
      </c>
      <c r="AV54" s="2" t="s">
        <v>101</v>
      </c>
      <c r="AW54" s="2" t="s">
        <v>333</v>
      </c>
    </row>
    <row r="55" spans="1:50" ht="27.75" customHeight="1" x14ac:dyDescent="0.35">
      <c r="A55" s="1">
        <v>20</v>
      </c>
      <c r="B55" s="2" t="s">
        <v>309</v>
      </c>
      <c r="C55" s="2" t="s">
        <v>310</v>
      </c>
      <c r="D55" s="2" t="s">
        <v>317</v>
      </c>
      <c r="E55" s="28" t="s">
        <v>872</v>
      </c>
      <c r="F55" s="2" t="s">
        <v>314</v>
      </c>
      <c r="G55" s="2" t="s">
        <v>312</v>
      </c>
      <c r="H55" s="2">
        <v>269</v>
      </c>
      <c r="I55" s="2">
        <v>388</v>
      </c>
      <c r="J55" s="2" t="s">
        <v>881</v>
      </c>
      <c r="K55" s="5" t="s">
        <v>315</v>
      </c>
      <c r="L55" s="5" t="s">
        <v>316</v>
      </c>
      <c r="M55" s="2" t="s">
        <v>101</v>
      </c>
      <c r="N55" s="47" t="s">
        <v>914</v>
      </c>
      <c r="O55" s="2" t="s">
        <v>320</v>
      </c>
      <c r="P55" s="47" t="s">
        <v>889</v>
      </c>
      <c r="Q55" s="26" t="s">
        <v>93</v>
      </c>
      <c r="R55" s="26" t="s">
        <v>101</v>
      </c>
      <c r="S55" s="1" t="s">
        <v>101</v>
      </c>
      <c r="T55" s="1" t="s">
        <v>101</v>
      </c>
      <c r="U55" s="1" t="s">
        <v>101</v>
      </c>
      <c r="V55" s="1" t="s">
        <v>101</v>
      </c>
      <c r="W55" s="2">
        <v>23</v>
      </c>
      <c r="X55" s="47">
        <v>100</v>
      </c>
      <c r="Y55" s="15" t="s">
        <v>331</v>
      </c>
      <c r="Z55" s="15"/>
      <c r="AA55" s="2" t="s">
        <v>311</v>
      </c>
      <c r="AB55" s="2" t="s">
        <v>321</v>
      </c>
      <c r="AC55" s="2" t="s">
        <v>899</v>
      </c>
      <c r="AD55" s="1" t="s">
        <v>101</v>
      </c>
      <c r="AE55" s="26" t="s">
        <v>914</v>
      </c>
      <c r="AF55" s="2" t="s">
        <v>322</v>
      </c>
      <c r="AG55" s="47" t="s">
        <v>966</v>
      </c>
      <c r="AH55" s="2" t="s">
        <v>323</v>
      </c>
      <c r="AI55" s="47" t="s">
        <v>934</v>
      </c>
      <c r="AK55" s="1" t="s">
        <v>101</v>
      </c>
      <c r="AL55" s="1" t="s">
        <v>101</v>
      </c>
      <c r="AM55" s="1" t="s">
        <v>101</v>
      </c>
      <c r="AO55" s="1">
        <v>8.1999999999999993</v>
      </c>
      <c r="AP55" s="1" t="s">
        <v>101</v>
      </c>
      <c r="AR55" s="1">
        <v>7.4</v>
      </c>
      <c r="AS55" s="1" t="s">
        <v>101</v>
      </c>
      <c r="AT55" s="2">
        <f>100*(AO55-AR55)/AO55</f>
        <v>9.7560975609755971</v>
      </c>
      <c r="AU55" s="47">
        <v>9.7560975609755971</v>
      </c>
      <c r="AV55" s="2" t="s">
        <v>101</v>
      </c>
      <c r="AW55" s="2" t="s">
        <v>333</v>
      </c>
    </row>
    <row r="56" spans="1:50" ht="27.75" customHeight="1" x14ac:dyDescent="0.35">
      <c r="A56" s="1">
        <v>20</v>
      </c>
      <c r="B56" s="2" t="s">
        <v>309</v>
      </c>
      <c r="C56" s="2" t="s">
        <v>310</v>
      </c>
      <c r="D56" s="2" t="s">
        <v>317</v>
      </c>
      <c r="E56" s="28" t="s">
        <v>872</v>
      </c>
      <c r="F56" s="2" t="s">
        <v>314</v>
      </c>
      <c r="G56" s="2" t="s">
        <v>312</v>
      </c>
      <c r="H56" s="2">
        <v>269</v>
      </c>
      <c r="I56" s="2">
        <v>388</v>
      </c>
      <c r="J56" s="2" t="s">
        <v>881</v>
      </c>
      <c r="K56" s="5" t="s">
        <v>315</v>
      </c>
      <c r="L56" s="5" t="s">
        <v>316</v>
      </c>
      <c r="M56" s="2" t="s">
        <v>101</v>
      </c>
      <c r="N56" s="47" t="s">
        <v>914</v>
      </c>
      <c r="O56" s="2" t="s">
        <v>320</v>
      </c>
      <c r="P56" s="47" t="s">
        <v>889</v>
      </c>
      <c r="Q56" s="26" t="s">
        <v>93</v>
      </c>
      <c r="R56" s="26" t="s">
        <v>101</v>
      </c>
      <c r="S56" s="1" t="s">
        <v>101</v>
      </c>
      <c r="T56" s="1" t="s">
        <v>101</v>
      </c>
      <c r="U56" s="1" t="s">
        <v>101</v>
      </c>
      <c r="V56" s="1" t="s">
        <v>101</v>
      </c>
      <c r="W56" s="2">
        <v>23</v>
      </c>
      <c r="X56" s="47">
        <v>100</v>
      </c>
      <c r="Y56" s="15" t="s">
        <v>331</v>
      </c>
      <c r="Z56" s="15"/>
      <c r="AA56" s="2" t="s">
        <v>311</v>
      </c>
      <c r="AB56" s="2" t="s">
        <v>321</v>
      </c>
      <c r="AC56" s="2" t="s">
        <v>899</v>
      </c>
      <c r="AD56" s="1" t="s">
        <v>101</v>
      </c>
      <c r="AE56" s="26" t="s">
        <v>914</v>
      </c>
      <c r="AF56" s="2" t="s">
        <v>322</v>
      </c>
      <c r="AG56" s="47" t="s">
        <v>966</v>
      </c>
      <c r="AH56" s="2" t="s">
        <v>324</v>
      </c>
      <c r="AI56" s="47" t="s">
        <v>934</v>
      </c>
      <c r="AK56" s="1" t="s">
        <v>101</v>
      </c>
      <c r="AL56" s="1" t="s">
        <v>101</v>
      </c>
      <c r="AM56" s="1" t="s">
        <v>101</v>
      </c>
      <c r="AO56" s="1">
        <v>8.1999999999999993</v>
      </c>
      <c r="AP56" s="1" t="s">
        <v>101</v>
      </c>
      <c r="AR56" s="1">
        <v>6.8</v>
      </c>
      <c r="AS56" s="1" t="s">
        <v>101</v>
      </c>
      <c r="AT56" s="2">
        <f t="shared" ref="AT56:AT57" si="6">100*(AO56-AR56)/AO56</f>
        <v>17.073170731707311</v>
      </c>
      <c r="AU56" s="47">
        <v>17.073170731707311</v>
      </c>
      <c r="AV56" s="2" t="s">
        <v>101</v>
      </c>
      <c r="AW56" s="2" t="s">
        <v>333</v>
      </c>
    </row>
    <row r="57" spans="1:50" ht="27.75" customHeight="1" x14ac:dyDescent="0.35">
      <c r="A57" s="1">
        <v>20</v>
      </c>
      <c r="B57" s="2" t="s">
        <v>309</v>
      </c>
      <c r="C57" s="2" t="s">
        <v>310</v>
      </c>
      <c r="D57" s="2" t="s">
        <v>317</v>
      </c>
      <c r="E57" s="28" t="s">
        <v>872</v>
      </c>
      <c r="F57" s="2" t="s">
        <v>314</v>
      </c>
      <c r="G57" s="2" t="s">
        <v>312</v>
      </c>
      <c r="H57" s="2">
        <v>269</v>
      </c>
      <c r="I57" s="2">
        <v>388</v>
      </c>
      <c r="J57" s="2" t="s">
        <v>881</v>
      </c>
      <c r="K57" s="5" t="s">
        <v>315</v>
      </c>
      <c r="L57" s="5" t="s">
        <v>316</v>
      </c>
      <c r="M57" s="2" t="s">
        <v>101</v>
      </c>
      <c r="N57" s="47" t="s">
        <v>914</v>
      </c>
      <c r="O57" s="2" t="s">
        <v>320</v>
      </c>
      <c r="P57" s="47" t="s">
        <v>889</v>
      </c>
      <c r="Q57" s="26" t="s">
        <v>93</v>
      </c>
      <c r="R57" s="26" t="s">
        <v>101</v>
      </c>
      <c r="S57" s="1" t="s">
        <v>101</v>
      </c>
      <c r="T57" s="1" t="s">
        <v>101</v>
      </c>
      <c r="U57" s="1" t="s">
        <v>101</v>
      </c>
      <c r="V57" s="1" t="s">
        <v>101</v>
      </c>
      <c r="W57" s="2">
        <v>23</v>
      </c>
      <c r="X57" s="47">
        <v>100</v>
      </c>
      <c r="Y57" s="15" t="s">
        <v>331</v>
      </c>
      <c r="Z57" s="15"/>
      <c r="AA57" s="2" t="s">
        <v>311</v>
      </c>
      <c r="AB57" s="2" t="s">
        <v>321</v>
      </c>
      <c r="AC57" s="2" t="s">
        <v>899</v>
      </c>
      <c r="AD57" s="1" t="s">
        <v>101</v>
      </c>
      <c r="AE57" s="26" t="s">
        <v>914</v>
      </c>
      <c r="AF57" s="2" t="s">
        <v>322</v>
      </c>
      <c r="AG57" s="47" t="s">
        <v>966</v>
      </c>
      <c r="AH57" s="2" t="s">
        <v>325</v>
      </c>
      <c r="AI57" s="47" t="s">
        <v>935</v>
      </c>
      <c r="AK57" s="1" t="s">
        <v>101</v>
      </c>
      <c r="AL57" s="1" t="s">
        <v>101</v>
      </c>
      <c r="AM57" s="1" t="s">
        <v>101</v>
      </c>
      <c r="AO57" s="1">
        <v>8.1999999999999993</v>
      </c>
      <c r="AP57" s="1" t="s">
        <v>101</v>
      </c>
      <c r="AR57" s="1">
        <v>12.3</v>
      </c>
      <c r="AS57" s="1" t="s">
        <v>101</v>
      </c>
      <c r="AT57" s="2">
        <f t="shared" si="6"/>
        <v>-50.000000000000021</v>
      </c>
      <c r="AU57" s="47">
        <v>-50.000000000000021</v>
      </c>
      <c r="AV57" s="2" t="s">
        <v>101</v>
      </c>
      <c r="AW57" s="2" t="s">
        <v>333</v>
      </c>
    </row>
    <row r="58" spans="1:50" s="8" customFormat="1" ht="27.75" customHeight="1" thickBot="1" x14ac:dyDescent="0.4">
      <c r="A58" s="8">
        <v>20</v>
      </c>
      <c r="B58" s="11" t="s">
        <v>309</v>
      </c>
      <c r="C58" s="11" t="s">
        <v>310</v>
      </c>
      <c r="D58" s="11" t="s">
        <v>317</v>
      </c>
      <c r="E58" s="29" t="s">
        <v>872</v>
      </c>
      <c r="F58" s="11" t="s">
        <v>314</v>
      </c>
      <c r="G58" s="11" t="s">
        <v>312</v>
      </c>
      <c r="H58" s="2">
        <v>269</v>
      </c>
      <c r="I58" s="2">
        <v>388</v>
      </c>
      <c r="J58" s="2" t="s">
        <v>881</v>
      </c>
      <c r="K58" s="9" t="s">
        <v>315</v>
      </c>
      <c r="L58" s="9" t="s">
        <v>316</v>
      </c>
      <c r="M58" s="11" t="s">
        <v>101</v>
      </c>
      <c r="N58" s="47" t="s">
        <v>914</v>
      </c>
      <c r="O58" s="11" t="s">
        <v>320</v>
      </c>
      <c r="P58" s="47" t="s">
        <v>889</v>
      </c>
      <c r="Q58" s="27" t="s">
        <v>93</v>
      </c>
      <c r="R58" s="27" t="s">
        <v>101</v>
      </c>
      <c r="S58" s="8" t="s">
        <v>101</v>
      </c>
      <c r="T58" s="8" t="s">
        <v>101</v>
      </c>
      <c r="U58" s="8" t="s">
        <v>101</v>
      </c>
      <c r="V58" s="8" t="s">
        <v>101</v>
      </c>
      <c r="W58" s="11">
        <v>23</v>
      </c>
      <c r="X58" s="49">
        <v>100</v>
      </c>
      <c r="Y58" s="17" t="s">
        <v>331</v>
      </c>
      <c r="Z58" s="17"/>
      <c r="AA58" s="11" t="s">
        <v>311</v>
      </c>
      <c r="AB58" s="11" t="s">
        <v>321</v>
      </c>
      <c r="AC58" s="2" t="s">
        <v>899</v>
      </c>
      <c r="AD58" s="8" t="s">
        <v>101</v>
      </c>
      <c r="AE58" s="26" t="s">
        <v>914</v>
      </c>
      <c r="AF58" s="11" t="s">
        <v>322</v>
      </c>
      <c r="AG58" s="47" t="s">
        <v>966</v>
      </c>
      <c r="AH58" s="11" t="s">
        <v>327</v>
      </c>
      <c r="AI58" s="47" t="s">
        <v>935</v>
      </c>
      <c r="AJ58" s="11"/>
      <c r="AK58" s="8" t="s">
        <v>101</v>
      </c>
      <c r="AL58" s="8" t="s">
        <v>101</v>
      </c>
      <c r="AM58" s="8" t="s">
        <v>101</v>
      </c>
      <c r="AO58" s="8">
        <v>8.1999999999999993</v>
      </c>
      <c r="AP58" s="8" t="s">
        <v>101</v>
      </c>
      <c r="AR58" s="8">
        <v>9.9</v>
      </c>
      <c r="AS58" s="8" t="s">
        <v>101</v>
      </c>
      <c r="AT58" s="11">
        <f>100*(AO58-AR58)/AO58</f>
        <v>-20.731707317073187</v>
      </c>
      <c r="AU58" s="49">
        <v>-20.731707317073187</v>
      </c>
      <c r="AV58" s="11" t="s">
        <v>101</v>
      </c>
      <c r="AW58" s="11" t="s">
        <v>333</v>
      </c>
    </row>
    <row r="59" spans="1:50" ht="27.75" customHeight="1" thickTop="1" x14ac:dyDescent="0.35">
      <c r="A59" s="1">
        <v>21</v>
      </c>
      <c r="B59" s="2" t="s">
        <v>334</v>
      </c>
      <c r="C59" s="2" t="s">
        <v>335</v>
      </c>
      <c r="D59" s="2" t="s">
        <v>336</v>
      </c>
      <c r="E59" s="2" t="s">
        <v>337</v>
      </c>
      <c r="F59" s="2" t="s">
        <v>101</v>
      </c>
      <c r="G59" s="2" t="s">
        <v>339</v>
      </c>
      <c r="H59" s="2">
        <v>310</v>
      </c>
      <c r="I59" s="2">
        <v>220</v>
      </c>
      <c r="J59" s="2" t="s">
        <v>881</v>
      </c>
      <c r="K59" s="5">
        <v>41123</v>
      </c>
      <c r="L59" s="5">
        <v>41150</v>
      </c>
      <c r="M59" s="2" t="s">
        <v>338</v>
      </c>
      <c r="N59" s="47" t="s">
        <v>886</v>
      </c>
      <c r="O59" s="2" t="s">
        <v>341</v>
      </c>
      <c r="P59" s="47" t="s">
        <v>534</v>
      </c>
      <c r="Q59" s="26" t="s">
        <v>93</v>
      </c>
      <c r="R59" s="26">
        <v>1.6</v>
      </c>
      <c r="S59" s="1" t="s">
        <v>101</v>
      </c>
      <c r="T59" s="1" t="s">
        <v>101</v>
      </c>
      <c r="U59" s="1" t="s">
        <v>101</v>
      </c>
      <c r="V59" s="1">
        <v>8.6999999999999993</v>
      </c>
      <c r="W59" s="2" t="s">
        <v>101</v>
      </c>
      <c r="X59" s="47">
        <v>100</v>
      </c>
      <c r="Y59" s="5">
        <v>41123</v>
      </c>
      <c r="Z59" s="5"/>
      <c r="AA59" s="2" t="s">
        <v>344</v>
      </c>
      <c r="AB59" s="2" t="s">
        <v>345</v>
      </c>
      <c r="AC59" s="2" t="s">
        <v>898</v>
      </c>
      <c r="AD59" s="1" t="s">
        <v>346</v>
      </c>
      <c r="AE59" s="26" t="s">
        <v>914</v>
      </c>
      <c r="AF59" s="2" t="s">
        <v>346</v>
      </c>
      <c r="AG59" s="47" t="s">
        <v>966</v>
      </c>
      <c r="AH59" s="2" t="s">
        <v>342</v>
      </c>
      <c r="AI59" s="47" t="s">
        <v>934</v>
      </c>
      <c r="AK59" s="1" t="s">
        <v>101</v>
      </c>
      <c r="AL59" s="1" t="s">
        <v>101</v>
      </c>
      <c r="AM59" s="1" t="s">
        <v>101</v>
      </c>
      <c r="AN59" s="1" t="s">
        <v>101</v>
      </c>
      <c r="AO59" s="1">
        <v>1</v>
      </c>
      <c r="AP59" s="1" t="s">
        <v>101</v>
      </c>
      <c r="AQ59" s="1" t="s">
        <v>101</v>
      </c>
      <c r="AR59" s="1">
        <v>0.6</v>
      </c>
      <c r="AS59" s="1">
        <v>0.04</v>
      </c>
      <c r="AT59" s="2">
        <v>40</v>
      </c>
      <c r="AU59" s="47">
        <v>40</v>
      </c>
      <c r="AV59" s="1" t="s">
        <v>101</v>
      </c>
      <c r="AW59" s="2" t="s">
        <v>347</v>
      </c>
    </row>
    <row r="60" spans="1:50" ht="27.75" customHeight="1" x14ac:dyDescent="0.35">
      <c r="A60" s="1">
        <v>21</v>
      </c>
      <c r="B60" s="2" t="s">
        <v>334</v>
      </c>
      <c r="C60" s="2" t="s">
        <v>335</v>
      </c>
      <c r="D60" s="2" t="s">
        <v>336</v>
      </c>
      <c r="E60" s="2" t="s">
        <v>337</v>
      </c>
      <c r="F60" s="2" t="s">
        <v>101</v>
      </c>
      <c r="G60" s="2" t="s">
        <v>339</v>
      </c>
      <c r="H60" s="2">
        <v>310</v>
      </c>
      <c r="I60" s="2">
        <v>220</v>
      </c>
      <c r="J60" s="2" t="s">
        <v>881</v>
      </c>
      <c r="K60" s="5">
        <v>41123</v>
      </c>
      <c r="L60" s="5">
        <v>41150</v>
      </c>
      <c r="M60" s="2" t="s">
        <v>338</v>
      </c>
      <c r="N60" s="47" t="s">
        <v>886</v>
      </c>
      <c r="O60" s="2" t="s">
        <v>340</v>
      </c>
      <c r="P60" s="47" t="s">
        <v>534</v>
      </c>
      <c r="Q60" s="26" t="s">
        <v>93</v>
      </c>
      <c r="R60" s="26">
        <v>9.1999999999999993</v>
      </c>
      <c r="S60" s="1" t="s">
        <v>101</v>
      </c>
      <c r="T60" s="1" t="s">
        <v>101</v>
      </c>
      <c r="U60" s="1" t="s">
        <v>101</v>
      </c>
      <c r="V60" s="1">
        <v>8</v>
      </c>
      <c r="W60" s="2" t="s">
        <v>101</v>
      </c>
      <c r="X60" s="47">
        <v>100</v>
      </c>
      <c r="Y60" s="5">
        <v>41123</v>
      </c>
      <c r="Z60" s="5"/>
      <c r="AA60" s="2" t="s">
        <v>344</v>
      </c>
      <c r="AB60" s="2" t="s">
        <v>345</v>
      </c>
      <c r="AC60" s="2" t="s">
        <v>898</v>
      </c>
      <c r="AD60" s="1" t="s">
        <v>346</v>
      </c>
      <c r="AE60" s="26" t="s">
        <v>914</v>
      </c>
      <c r="AF60" s="2" t="s">
        <v>346</v>
      </c>
      <c r="AG60" s="47" t="s">
        <v>966</v>
      </c>
      <c r="AH60" s="2" t="s">
        <v>343</v>
      </c>
      <c r="AI60" s="47" t="s">
        <v>934</v>
      </c>
      <c r="AK60" s="1" t="s">
        <v>101</v>
      </c>
      <c r="AL60" s="1" t="s">
        <v>101</v>
      </c>
      <c r="AM60" s="1" t="s">
        <v>101</v>
      </c>
      <c r="AN60" s="1" t="s">
        <v>101</v>
      </c>
      <c r="AO60" s="1">
        <v>15</v>
      </c>
      <c r="AP60" s="1" t="s">
        <v>101</v>
      </c>
      <c r="AQ60" s="1" t="s">
        <v>101</v>
      </c>
      <c r="AR60" s="1">
        <v>7</v>
      </c>
      <c r="AS60" s="1">
        <v>0.61</v>
      </c>
      <c r="AT60" s="2">
        <v>48</v>
      </c>
      <c r="AU60" s="47">
        <v>48</v>
      </c>
      <c r="AV60" s="1" t="s">
        <v>101</v>
      </c>
      <c r="AW60" s="2" t="s">
        <v>347</v>
      </c>
    </row>
    <row r="61" spans="1:50" ht="27.75" customHeight="1" x14ac:dyDescent="0.35">
      <c r="A61" s="1">
        <v>22</v>
      </c>
      <c r="B61" s="2" t="s">
        <v>348</v>
      </c>
      <c r="C61" s="2" t="s">
        <v>349</v>
      </c>
      <c r="D61" s="2" t="s">
        <v>241</v>
      </c>
      <c r="E61" s="2" t="s">
        <v>350</v>
      </c>
      <c r="F61" s="2" t="s">
        <v>313</v>
      </c>
      <c r="G61" s="2" t="s">
        <v>351</v>
      </c>
      <c r="J61" s="2" t="s">
        <v>883</v>
      </c>
      <c r="K61" s="5">
        <v>43640</v>
      </c>
      <c r="L61" s="5">
        <v>43687</v>
      </c>
      <c r="M61" s="2" t="s">
        <v>353</v>
      </c>
      <c r="N61" s="47" t="s">
        <v>884</v>
      </c>
      <c r="O61" s="2" t="s">
        <v>352</v>
      </c>
      <c r="P61" s="47" t="s">
        <v>534</v>
      </c>
      <c r="Q61" s="26" t="s">
        <v>93</v>
      </c>
      <c r="R61" s="26" t="s">
        <v>101</v>
      </c>
      <c r="S61" s="1" t="s">
        <v>101</v>
      </c>
      <c r="T61" s="1" t="s">
        <v>101</v>
      </c>
      <c r="U61" s="1" t="s">
        <v>101</v>
      </c>
      <c r="V61" s="1">
        <v>7.93</v>
      </c>
      <c r="W61" s="2" t="s">
        <v>101</v>
      </c>
      <c r="X61" s="47">
        <v>100</v>
      </c>
      <c r="Y61" s="15" t="s">
        <v>354</v>
      </c>
      <c r="Z61" s="15"/>
      <c r="AA61" s="2" t="s">
        <v>374</v>
      </c>
      <c r="AB61" s="2" t="s">
        <v>358</v>
      </c>
      <c r="AC61" s="2" t="s">
        <v>897</v>
      </c>
      <c r="AD61" s="2" t="s">
        <v>360</v>
      </c>
      <c r="AE61" s="47" t="s">
        <v>936</v>
      </c>
      <c r="AF61" s="2" t="s">
        <v>355</v>
      </c>
      <c r="AG61" s="47" t="s">
        <v>966</v>
      </c>
      <c r="AH61" s="2" t="s">
        <v>101</v>
      </c>
      <c r="AI61" s="47"/>
      <c r="AK61" s="2" t="s">
        <v>101</v>
      </c>
      <c r="AL61" s="2" t="s">
        <v>101</v>
      </c>
      <c r="AM61" s="2" t="s">
        <v>101</v>
      </c>
      <c r="AN61" s="2" t="s">
        <v>101</v>
      </c>
      <c r="AO61" s="1">
        <v>1268</v>
      </c>
      <c r="AP61" s="1" t="s">
        <v>101</v>
      </c>
      <c r="AQ61" s="1" t="s">
        <v>101</v>
      </c>
      <c r="AR61" s="1">
        <v>18</v>
      </c>
      <c r="AS61" s="1" t="s">
        <v>101</v>
      </c>
      <c r="AT61" s="2">
        <f>((AO61-AR61)/AO61)*100</f>
        <v>98.580441640378552</v>
      </c>
      <c r="AU61" s="47">
        <v>98.580441640378552</v>
      </c>
      <c r="AV61" s="1" t="s">
        <v>101</v>
      </c>
      <c r="AW61" s="2" t="s">
        <v>375</v>
      </c>
    </row>
    <row r="62" spans="1:50" ht="27.75" customHeight="1" x14ac:dyDescent="0.35">
      <c r="A62" s="1">
        <v>22</v>
      </c>
      <c r="B62" s="2" t="s">
        <v>348</v>
      </c>
      <c r="C62" s="2" t="s">
        <v>349</v>
      </c>
      <c r="D62" s="2" t="s">
        <v>241</v>
      </c>
      <c r="E62" s="2" t="s">
        <v>350</v>
      </c>
      <c r="F62" s="2" t="s">
        <v>313</v>
      </c>
      <c r="G62" s="2" t="s">
        <v>351</v>
      </c>
      <c r="J62" s="2" t="s">
        <v>883</v>
      </c>
      <c r="K62" s="5">
        <v>43640</v>
      </c>
      <c r="L62" s="5">
        <v>43687</v>
      </c>
      <c r="M62" s="2" t="s">
        <v>353</v>
      </c>
      <c r="N62" s="47" t="s">
        <v>884</v>
      </c>
      <c r="O62" s="2" t="s">
        <v>352</v>
      </c>
      <c r="P62" s="47" t="s">
        <v>534</v>
      </c>
      <c r="Q62" s="26" t="s">
        <v>93</v>
      </c>
      <c r="R62" s="26" t="s">
        <v>101</v>
      </c>
      <c r="S62" s="1" t="s">
        <v>101</v>
      </c>
      <c r="T62" s="1" t="s">
        <v>101</v>
      </c>
      <c r="U62" s="1" t="s">
        <v>101</v>
      </c>
      <c r="V62" s="1">
        <v>7.93</v>
      </c>
      <c r="W62" s="2" t="s">
        <v>101</v>
      </c>
      <c r="X62" s="47">
        <v>100</v>
      </c>
      <c r="Y62" s="15" t="s">
        <v>354</v>
      </c>
      <c r="Z62" s="15"/>
      <c r="AA62" s="2" t="s">
        <v>374</v>
      </c>
      <c r="AB62" s="2" t="s">
        <v>358</v>
      </c>
      <c r="AC62" s="2" t="s">
        <v>897</v>
      </c>
      <c r="AD62" s="2" t="s">
        <v>361</v>
      </c>
      <c r="AE62" s="47" t="s">
        <v>936</v>
      </c>
      <c r="AF62" s="2" t="s">
        <v>355</v>
      </c>
      <c r="AG62" s="47" t="s">
        <v>966</v>
      </c>
      <c r="AH62" s="2" t="s">
        <v>101</v>
      </c>
      <c r="AI62" s="47"/>
      <c r="AK62" s="2" t="s">
        <v>101</v>
      </c>
      <c r="AL62" s="2" t="s">
        <v>101</v>
      </c>
      <c r="AM62" s="2" t="s">
        <v>101</v>
      </c>
      <c r="AN62" s="2" t="s">
        <v>101</v>
      </c>
      <c r="AO62" s="1">
        <v>95</v>
      </c>
      <c r="AP62" s="1" t="s">
        <v>101</v>
      </c>
      <c r="AQ62" s="1" t="s">
        <v>101</v>
      </c>
      <c r="AR62" s="1">
        <v>3.5</v>
      </c>
      <c r="AS62" s="1" t="s">
        <v>101</v>
      </c>
      <c r="AT62" s="2">
        <f t="shared" ref="AT62:AT70" si="7">((AO62-AR62)/AO62)*100</f>
        <v>96.315789473684205</v>
      </c>
      <c r="AU62" s="47">
        <v>96.315789473684205</v>
      </c>
      <c r="AV62" s="1" t="s">
        <v>101</v>
      </c>
      <c r="AW62" s="2" t="s">
        <v>375</v>
      </c>
    </row>
    <row r="63" spans="1:50" ht="27.75" customHeight="1" x14ac:dyDescent="0.35">
      <c r="A63" s="1">
        <v>22</v>
      </c>
      <c r="B63" s="2" t="s">
        <v>348</v>
      </c>
      <c r="C63" s="2" t="s">
        <v>349</v>
      </c>
      <c r="D63" s="2" t="s">
        <v>241</v>
      </c>
      <c r="E63" s="2" t="s">
        <v>350</v>
      </c>
      <c r="F63" s="2" t="s">
        <v>313</v>
      </c>
      <c r="G63" s="2" t="s">
        <v>351</v>
      </c>
      <c r="J63" s="2" t="s">
        <v>883</v>
      </c>
      <c r="K63" s="5">
        <v>43640</v>
      </c>
      <c r="L63" s="5">
        <v>43687</v>
      </c>
      <c r="M63" s="2" t="s">
        <v>353</v>
      </c>
      <c r="N63" s="47" t="s">
        <v>884</v>
      </c>
      <c r="O63" s="2" t="s">
        <v>356</v>
      </c>
      <c r="P63" s="47"/>
      <c r="Q63" s="26" t="s">
        <v>101</v>
      </c>
      <c r="R63" s="26" t="s">
        <v>101</v>
      </c>
      <c r="S63" s="1" t="s">
        <v>101</v>
      </c>
      <c r="T63" s="1" t="s">
        <v>101</v>
      </c>
      <c r="U63" s="1" t="s">
        <v>101</v>
      </c>
      <c r="V63" s="1" t="s">
        <v>101</v>
      </c>
      <c r="W63" s="2" t="s">
        <v>101</v>
      </c>
      <c r="X63" s="47">
        <v>100</v>
      </c>
      <c r="Y63" s="15" t="s">
        <v>354</v>
      </c>
      <c r="Z63" s="15"/>
      <c r="AA63" s="2" t="s">
        <v>374</v>
      </c>
      <c r="AB63" s="2" t="s">
        <v>358</v>
      </c>
      <c r="AC63" s="2" t="s">
        <v>897</v>
      </c>
      <c r="AD63" s="2" t="s">
        <v>362</v>
      </c>
      <c r="AE63" s="47" t="s">
        <v>914</v>
      </c>
      <c r="AF63" s="2" t="s">
        <v>355</v>
      </c>
      <c r="AG63" s="47" t="s">
        <v>966</v>
      </c>
      <c r="AH63" s="2" t="s">
        <v>101</v>
      </c>
      <c r="AI63" s="47"/>
      <c r="AK63" s="2" t="s">
        <v>101</v>
      </c>
      <c r="AL63" s="2" t="s">
        <v>101</v>
      </c>
      <c r="AM63" s="2" t="s">
        <v>101</v>
      </c>
      <c r="AN63" s="2" t="s">
        <v>101</v>
      </c>
      <c r="AO63" s="1">
        <v>1268</v>
      </c>
      <c r="AP63" s="1" t="s">
        <v>101</v>
      </c>
      <c r="AQ63" s="1" t="s">
        <v>101</v>
      </c>
      <c r="AR63" s="1">
        <v>9</v>
      </c>
      <c r="AS63" s="1" t="s">
        <v>101</v>
      </c>
      <c r="AT63" s="2">
        <f t="shared" si="7"/>
        <v>99.290220820189276</v>
      </c>
      <c r="AU63" s="47">
        <v>99.290220820189276</v>
      </c>
      <c r="AV63" s="1" t="s">
        <v>101</v>
      </c>
      <c r="AW63" s="2" t="s">
        <v>375</v>
      </c>
    </row>
    <row r="64" spans="1:50" s="22" customFormat="1" ht="27.75" customHeight="1" x14ac:dyDescent="0.35">
      <c r="A64" s="1">
        <v>22</v>
      </c>
      <c r="B64" s="2" t="s">
        <v>348</v>
      </c>
      <c r="C64" s="2" t="s">
        <v>349</v>
      </c>
      <c r="D64" s="2" t="s">
        <v>241</v>
      </c>
      <c r="E64" s="2" t="s">
        <v>350</v>
      </c>
      <c r="F64" s="2" t="s">
        <v>313</v>
      </c>
      <c r="G64" s="2" t="s">
        <v>351</v>
      </c>
      <c r="H64" s="2"/>
      <c r="I64" s="2"/>
      <c r="J64" s="2" t="s">
        <v>883</v>
      </c>
      <c r="K64" s="5">
        <v>43640</v>
      </c>
      <c r="L64" s="5">
        <v>43687</v>
      </c>
      <c r="M64" s="2" t="s">
        <v>353</v>
      </c>
      <c r="N64" s="47" t="s">
        <v>884</v>
      </c>
      <c r="O64" s="23" t="s">
        <v>356</v>
      </c>
      <c r="P64" s="47"/>
      <c r="Q64" s="26" t="s">
        <v>101</v>
      </c>
      <c r="R64" s="26" t="s">
        <v>101</v>
      </c>
      <c r="S64" s="1" t="s">
        <v>101</v>
      </c>
      <c r="T64" s="1" t="s">
        <v>101</v>
      </c>
      <c r="U64" s="1" t="s">
        <v>101</v>
      </c>
      <c r="V64" s="1" t="s">
        <v>101</v>
      </c>
      <c r="W64" s="2" t="s">
        <v>101</v>
      </c>
      <c r="X64" s="47">
        <v>100</v>
      </c>
      <c r="Y64" s="15" t="s">
        <v>354</v>
      </c>
      <c r="Z64" s="15"/>
      <c r="AA64" s="2" t="s">
        <v>374</v>
      </c>
      <c r="AB64" s="2" t="s">
        <v>358</v>
      </c>
      <c r="AC64" s="2" t="s">
        <v>897</v>
      </c>
      <c r="AD64" s="23" t="s">
        <v>363</v>
      </c>
      <c r="AE64" s="54" t="s">
        <v>914</v>
      </c>
      <c r="AF64" s="23" t="s">
        <v>355</v>
      </c>
      <c r="AG64" s="47" t="s">
        <v>966</v>
      </c>
      <c r="AH64" s="23" t="s">
        <v>101</v>
      </c>
      <c r="AI64" s="47"/>
      <c r="AJ64" s="2"/>
      <c r="AK64" s="2" t="s">
        <v>101</v>
      </c>
      <c r="AL64" s="2" t="s">
        <v>101</v>
      </c>
      <c r="AM64" s="2" t="s">
        <v>101</v>
      </c>
      <c r="AN64" s="2" t="s">
        <v>101</v>
      </c>
      <c r="AO64" s="22">
        <v>95</v>
      </c>
      <c r="AP64" s="1" t="s">
        <v>101</v>
      </c>
      <c r="AQ64" s="1" t="s">
        <v>101</v>
      </c>
      <c r="AR64" s="22">
        <v>12.6</v>
      </c>
      <c r="AS64" s="1" t="s">
        <v>101</v>
      </c>
      <c r="AT64" s="2">
        <f t="shared" si="7"/>
        <v>86.736842105263165</v>
      </c>
      <c r="AU64" s="47">
        <v>86.736842105263165</v>
      </c>
      <c r="AV64" s="1" t="s">
        <v>101</v>
      </c>
      <c r="AW64" s="2" t="s">
        <v>375</v>
      </c>
    </row>
    <row r="65" spans="1:49" ht="27.75" customHeight="1" x14ac:dyDescent="0.35">
      <c r="A65" s="1">
        <v>22</v>
      </c>
      <c r="B65" s="2" t="s">
        <v>348</v>
      </c>
      <c r="C65" s="2" t="s">
        <v>349</v>
      </c>
      <c r="D65" s="2" t="s">
        <v>241</v>
      </c>
      <c r="E65" s="2" t="s">
        <v>350</v>
      </c>
      <c r="F65" s="2" t="s">
        <v>357</v>
      </c>
      <c r="G65" s="2" t="s">
        <v>351</v>
      </c>
      <c r="J65" s="2" t="s">
        <v>883</v>
      </c>
      <c r="K65" s="5">
        <v>43640</v>
      </c>
      <c r="L65" s="5">
        <v>43687</v>
      </c>
      <c r="M65" s="2" t="s">
        <v>353</v>
      </c>
      <c r="N65" s="47" t="s">
        <v>884</v>
      </c>
      <c r="O65" s="2" t="s">
        <v>352</v>
      </c>
      <c r="P65" s="47" t="s">
        <v>534</v>
      </c>
      <c r="Q65" s="26" t="s">
        <v>93</v>
      </c>
      <c r="R65" s="26" t="s">
        <v>101</v>
      </c>
      <c r="S65" s="1" t="s">
        <v>101</v>
      </c>
      <c r="T65" s="1" t="s">
        <v>101</v>
      </c>
      <c r="U65" s="1" t="s">
        <v>101</v>
      </c>
      <c r="V65" s="1">
        <v>7.93</v>
      </c>
      <c r="W65" s="2" t="s">
        <v>101</v>
      </c>
      <c r="X65" s="26"/>
      <c r="Y65" s="10"/>
      <c r="Z65" s="10"/>
      <c r="AA65" s="2" t="s">
        <v>364</v>
      </c>
      <c r="AB65" s="2" t="s">
        <v>359</v>
      </c>
      <c r="AC65" s="2" t="s">
        <v>897</v>
      </c>
      <c r="AD65" s="2" t="s">
        <v>365</v>
      </c>
      <c r="AE65" s="47" t="s">
        <v>933</v>
      </c>
      <c r="AF65" s="2" t="s">
        <v>366</v>
      </c>
      <c r="AG65" s="47" t="s">
        <v>967</v>
      </c>
      <c r="AH65" s="2" t="s">
        <v>367</v>
      </c>
      <c r="AI65" s="47" t="s">
        <v>937</v>
      </c>
      <c r="AK65" s="2" t="s">
        <v>101</v>
      </c>
      <c r="AL65" s="2" t="s">
        <v>101</v>
      </c>
      <c r="AM65" s="2" t="s">
        <v>101</v>
      </c>
      <c r="AN65" s="2" t="s">
        <v>101</v>
      </c>
      <c r="AO65" s="1">
        <v>1278</v>
      </c>
      <c r="AP65" s="1" t="s">
        <v>101</v>
      </c>
      <c r="AQ65" s="1" t="s">
        <v>101</v>
      </c>
      <c r="AR65" s="1">
        <v>1253</v>
      </c>
      <c r="AS65" s="1" t="s">
        <v>101</v>
      </c>
      <c r="AT65" s="2">
        <f t="shared" si="7"/>
        <v>1.9561815336463224</v>
      </c>
      <c r="AU65" s="47">
        <v>1.9561815336463224</v>
      </c>
      <c r="AV65" s="1" t="s">
        <v>101</v>
      </c>
      <c r="AW65" s="2" t="s">
        <v>375</v>
      </c>
    </row>
    <row r="66" spans="1:49" ht="27.75" customHeight="1" x14ac:dyDescent="0.35">
      <c r="A66" s="1">
        <v>22</v>
      </c>
      <c r="B66" s="2" t="s">
        <v>348</v>
      </c>
      <c r="C66" s="2" t="s">
        <v>349</v>
      </c>
      <c r="D66" s="2" t="s">
        <v>241</v>
      </c>
      <c r="E66" s="2" t="s">
        <v>350</v>
      </c>
      <c r="F66" s="2" t="s">
        <v>357</v>
      </c>
      <c r="G66" s="2" t="s">
        <v>351</v>
      </c>
      <c r="J66" s="2" t="s">
        <v>883</v>
      </c>
      <c r="K66" s="5">
        <v>43640</v>
      </c>
      <c r="L66" s="5">
        <v>43687</v>
      </c>
      <c r="M66" s="2" t="s">
        <v>353</v>
      </c>
      <c r="N66" s="47" t="s">
        <v>884</v>
      </c>
      <c r="O66" s="2" t="s">
        <v>352</v>
      </c>
      <c r="P66" s="47" t="s">
        <v>534</v>
      </c>
      <c r="Q66" s="26" t="s">
        <v>93</v>
      </c>
      <c r="R66" s="26" t="s">
        <v>101</v>
      </c>
      <c r="S66" s="1" t="s">
        <v>101</v>
      </c>
      <c r="T66" s="1" t="s">
        <v>101</v>
      </c>
      <c r="U66" s="1" t="s">
        <v>101</v>
      </c>
      <c r="V66" s="1">
        <v>7.93</v>
      </c>
      <c r="W66" s="2" t="s">
        <v>101</v>
      </c>
      <c r="X66" s="26"/>
      <c r="Y66" s="10"/>
      <c r="Z66" s="10"/>
      <c r="AA66" s="2" t="s">
        <v>364</v>
      </c>
      <c r="AB66" s="2" t="s">
        <v>359</v>
      </c>
      <c r="AC66" s="2" t="s">
        <v>897</v>
      </c>
      <c r="AD66" s="2" t="s">
        <v>365</v>
      </c>
      <c r="AE66" s="47" t="s">
        <v>933</v>
      </c>
      <c r="AF66" s="2" t="s">
        <v>366</v>
      </c>
      <c r="AG66" s="47" t="s">
        <v>967</v>
      </c>
      <c r="AH66" s="2" t="s">
        <v>368</v>
      </c>
      <c r="AI66" s="47" t="s">
        <v>938</v>
      </c>
      <c r="AK66" s="2" t="s">
        <v>101</v>
      </c>
      <c r="AL66" s="2" t="s">
        <v>101</v>
      </c>
      <c r="AM66" s="2" t="s">
        <v>101</v>
      </c>
      <c r="AN66" s="2" t="s">
        <v>101</v>
      </c>
      <c r="AO66" s="1">
        <v>1278</v>
      </c>
      <c r="AP66" s="1" t="s">
        <v>101</v>
      </c>
      <c r="AQ66" s="1" t="s">
        <v>101</v>
      </c>
      <c r="AR66" s="1">
        <v>1248</v>
      </c>
      <c r="AS66" s="1" t="s">
        <v>101</v>
      </c>
      <c r="AT66" s="2">
        <f t="shared" si="7"/>
        <v>2.3474178403755865</v>
      </c>
      <c r="AU66" s="47">
        <v>2.3474178403755865</v>
      </c>
      <c r="AV66" s="1" t="s">
        <v>101</v>
      </c>
      <c r="AW66" s="2" t="s">
        <v>375</v>
      </c>
    </row>
    <row r="67" spans="1:49" ht="27.75" customHeight="1" x14ac:dyDescent="0.35">
      <c r="A67" s="1">
        <v>22</v>
      </c>
      <c r="B67" s="2" t="s">
        <v>348</v>
      </c>
      <c r="C67" s="2" t="s">
        <v>349</v>
      </c>
      <c r="D67" s="2" t="s">
        <v>241</v>
      </c>
      <c r="E67" s="2" t="s">
        <v>350</v>
      </c>
      <c r="F67" s="2" t="s">
        <v>357</v>
      </c>
      <c r="G67" s="2" t="s">
        <v>351</v>
      </c>
      <c r="J67" s="2" t="s">
        <v>883</v>
      </c>
      <c r="K67" s="5">
        <v>43640</v>
      </c>
      <c r="L67" s="5">
        <v>43687</v>
      </c>
      <c r="M67" s="2" t="s">
        <v>353</v>
      </c>
      <c r="N67" s="47" t="s">
        <v>884</v>
      </c>
      <c r="O67" s="2" t="s">
        <v>352</v>
      </c>
      <c r="P67" s="47" t="s">
        <v>534</v>
      </c>
      <c r="Q67" s="26" t="s">
        <v>93</v>
      </c>
      <c r="R67" s="26" t="s">
        <v>101</v>
      </c>
      <c r="S67" s="1" t="s">
        <v>101</v>
      </c>
      <c r="T67" s="1" t="s">
        <v>101</v>
      </c>
      <c r="U67" s="1" t="s">
        <v>101</v>
      </c>
      <c r="V67" s="1">
        <v>7.93</v>
      </c>
      <c r="W67" s="2" t="s">
        <v>101</v>
      </c>
      <c r="X67" s="26"/>
      <c r="Y67" s="10"/>
      <c r="Z67" s="10"/>
      <c r="AA67" s="2" t="s">
        <v>364</v>
      </c>
      <c r="AB67" s="2" t="s">
        <v>359</v>
      </c>
      <c r="AC67" s="2" t="s">
        <v>897</v>
      </c>
      <c r="AD67" s="2" t="s">
        <v>365</v>
      </c>
      <c r="AE67" s="47" t="s">
        <v>933</v>
      </c>
      <c r="AF67" s="2" t="s">
        <v>366</v>
      </c>
      <c r="AG67" s="47" t="s">
        <v>967</v>
      </c>
      <c r="AH67" s="2" t="s">
        <v>369</v>
      </c>
      <c r="AI67" s="47" t="s">
        <v>939</v>
      </c>
      <c r="AK67" s="2" t="s">
        <v>101</v>
      </c>
      <c r="AL67" s="2" t="s">
        <v>101</v>
      </c>
      <c r="AM67" s="2" t="s">
        <v>101</v>
      </c>
      <c r="AN67" s="2" t="s">
        <v>101</v>
      </c>
      <c r="AO67" s="1">
        <v>1278</v>
      </c>
      <c r="AP67" s="1" t="s">
        <v>101</v>
      </c>
      <c r="AQ67" s="1" t="s">
        <v>101</v>
      </c>
      <c r="AR67" s="1">
        <v>1367</v>
      </c>
      <c r="AS67" s="1" t="s">
        <v>101</v>
      </c>
      <c r="AT67" s="2">
        <f t="shared" si="7"/>
        <v>-6.9640062597809083</v>
      </c>
      <c r="AU67" s="47">
        <v>-6.9640062597809083</v>
      </c>
      <c r="AV67" s="1" t="s">
        <v>101</v>
      </c>
      <c r="AW67" s="2" t="s">
        <v>375</v>
      </c>
    </row>
    <row r="68" spans="1:49" ht="27.75" customHeight="1" x14ac:dyDescent="0.35">
      <c r="A68" s="1">
        <v>22</v>
      </c>
      <c r="B68" s="2" t="s">
        <v>348</v>
      </c>
      <c r="C68" s="2" t="s">
        <v>349</v>
      </c>
      <c r="D68" s="2" t="s">
        <v>241</v>
      </c>
      <c r="E68" s="2" t="s">
        <v>350</v>
      </c>
      <c r="F68" s="2" t="s">
        <v>357</v>
      </c>
      <c r="G68" s="2" t="s">
        <v>351</v>
      </c>
      <c r="J68" s="2" t="s">
        <v>883</v>
      </c>
      <c r="K68" s="5">
        <v>43640</v>
      </c>
      <c r="L68" s="5">
        <v>43687</v>
      </c>
      <c r="M68" s="2" t="s">
        <v>353</v>
      </c>
      <c r="N68" s="47" t="s">
        <v>884</v>
      </c>
      <c r="O68" s="2" t="s">
        <v>352</v>
      </c>
      <c r="P68" s="47" t="s">
        <v>534</v>
      </c>
      <c r="Q68" s="26" t="s">
        <v>93</v>
      </c>
      <c r="R68" s="26" t="s">
        <v>101</v>
      </c>
      <c r="S68" s="1" t="s">
        <v>101</v>
      </c>
      <c r="T68" s="1" t="s">
        <v>101</v>
      </c>
      <c r="U68" s="1" t="s">
        <v>101</v>
      </c>
      <c r="V68" s="1">
        <v>7.93</v>
      </c>
      <c r="W68" s="2" t="s">
        <v>101</v>
      </c>
      <c r="X68" s="26"/>
      <c r="Y68" s="10"/>
      <c r="Z68" s="10"/>
      <c r="AA68" s="2" t="s">
        <v>364</v>
      </c>
      <c r="AB68" s="2" t="s">
        <v>359</v>
      </c>
      <c r="AC68" s="2" t="s">
        <v>897</v>
      </c>
      <c r="AD68" s="2" t="s">
        <v>303</v>
      </c>
      <c r="AE68" s="47" t="s">
        <v>408</v>
      </c>
      <c r="AF68" s="2" t="s">
        <v>373</v>
      </c>
      <c r="AG68" s="47" t="s">
        <v>966</v>
      </c>
      <c r="AH68" s="2" t="s">
        <v>370</v>
      </c>
      <c r="AI68" s="47" t="s">
        <v>937</v>
      </c>
      <c r="AK68" s="2" t="s">
        <v>101</v>
      </c>
      <c r="AL68" s="2" t="s">
        <v>101</v>
      </c>
      <c r="AM68" s="2" t="s">
        <v>101</v>
      </c>
      <c r="AN68" s="2" t="s">
        <v>101</v>
      </c>
      <c r="AO68" s="1">
        <v>3373</v>
      </c>
      <c r="AP68" s="1" t="s">
        <v>101</v>
      </c>
      <c r="AQ68" s="1" t="s">
        <v>101</v>
      </c>
      <c r="AR68" s="1">
        <v>3670</v>
      </c>
      <c r="AS68" s="1" t="s">
        <v>101</v>
      </c>
      <c r="AT68" s="2">
        <f t="shared" si="7"/>
        <v>-8.8052179069077976</v>
      </c>
      <c r="AU68" s="47">
        <v>-8.8052179069077976</v>
      </c>
      <c r="AV68" s="1" t="s">
        <v>101</v>
      </c>
      <c r="AW68" s="2" t="s">
        <v>375</v>
      </c>
    </row>
    <row r="69" spans="1:49" ht="27.75" customHeight="1" x14ac:dyDescent="0.35">
      <c r="A69" s="1">
        <v>22</v>
      </c>
      <c r="B69" s="2" t="s">
        <v>348</v>
      </c>
      <c r="C69" s="2" t="s">
        <v>349</v>
      </c>
      <c r="D69" s="2" t="s">
        <v>241</v>
      </c>
      <c r="E69" s="2" t="s">
        <v>350</v>
      </c>
      <c r="F69" s="2" t="s">
        <v>357</v>
      </c>
      <c r="G69" s="2" t="s">
        <v>351</v>
      </c>
      <c r="J69" s="2" t="s">
        <v>883</v>
      </c>
      <c r="K69" s="5">
        <v>43640</v>
      </c>
      <c r="L69" s="5">
        <v>43687</v>
      </c>
      <c r="M69" s="2" t="s">
        <v>353</v>
      </c>
      <c r="N69" s="47" t="s">
        <v>884</v>
      </c>
      <c r="O69" s="2" t="s">
        <v>352</v>
      </c>
      <c r="P69" s="47" t="s">
        <v>534</v>
      </c>
      <c r="Q69" s="26" t="s">
        <v>93</v>
      </c>
      <c r="R69" s="26" t="s">
        <v>101</v>
      </c>
      <c r="S69" s="1" t="s">
        <v>101</v>
      </c>
      <c r="T69" s="1" t="s">
        <v>101</v>
      </c>
      <c r="U69" s="1" t="s">
        <v>101</v>
      </c>
      <c r="V69" s="1">
        <v>7.93</v>
      </c>
      <c r="W69" s="2" t="s">
        <v>101</v>
      </c>
      <c r="X69" s="26"/>
      <c r="Y69" s="10"/>
      <c r="Z69" s="10"/>
      <c r="AA69" s="2" t="s">
        <v>364</v>
      </c>
      <c r="AB69" s="2" t="s">
        <v>359</v>
      </c>
      <c r="AC69" s="2" t="s">
        <v>897</v>
      </c>
      <c r="AD69" s="2" t="s">
        <v>303</v>
      </c>
      <c r="AE69" s="47" t="s">
        <v>408</v>
      </c>
      <c r="AF69" s="2" t="s">
        <v>373</v>
      </c>
      <c r="AG69" s="47" t="s">
        <v>966</v>
      </c>
      <c r="AH69" s="2" t="s">
        <v>371</v>
      </c>
      <c r="AI69" s="47" t="s">
        <v>938</v>
      </c>
      <c r="AK69" s="2" t="s">
        <v>101</v>
      </c>
      <c r="AL69" s="2" t="s">
        <v>101</v>
      </c>
      <c r="AM69" s="2" t="s">
        <v>101</v>
      </c>
      <c r="AN69" s="2" t="s">
        <v>101</v>
      </c>
      <c r="AO69" s="1">
        <v>3373</v>
      </c>
      <c r="AP69" s="1" t="s">
        <v>101</v>
      </c>
      <c r="AQ69" s="1" t="s">
        <v>101</v>
      </c>
      <c r="AR69" s="1">
        <v>2600</v>
      </c>
      <c r="AS69" s="1" t="s">
        <v>101</v>
      </c>
      <c r="AT69" s="2">
        <f t="shared" si="7"/>
        <v>22.917284316632077</v>
      </c>
      <c r="AU69" s="47">
        <v>22.917284316632077</v>
      </c>
      <c r="AV69" s="1" t="s">
        <v>101</v>
      </c>
      <c r="AW69" s="2" t="s">
        <v>375</v>
      </c>
    </row>
    <row r="70" spans="1:49" s="8" customFormat="1" ht="27.75" customHeight="1" thickBot="1" x14ac:dyDescent="0.4">
      <c r="A70" s="8">
        <v>22</v>
      </c>
      <c r="B70" s="11" t="s">
        <v>348</v>
      </c>
      <c r="C70" s="11" t="s">
        <v>349</v>
      </c>
      <c r="D70" s="11" t="s">
        <v>241</v>
      </c>
      <c r="E70" s="11" t="s">
        <v>350</v>
      </c>
      <c r="F70" s="11" t="s">
        <v>357</v>
      </c>
      <c r="G70" s="11" t="s">
        <v>351</v>
      </c>
      <c r="H70" s="11"/>
      <c r="I70" s="11"/>
      <c r="J70" s="2" t="s">
        <v>883</v>
      </c>
      <c r="K70" s="9">
        <v>43640</v>
      </c>
      <c r="L70" s="9">
        <v>43687</v>
      </c>
      <c r="M70" s="11" t="s">
        <v>353</v>
      </c>
      <c r="N70" s="47" t="s">
        <v>884</v>
      </c>
      <c r="O70" s="11" t="s">
        <v>352</v>
      </c>
      <c r="P70" s="47" t="s">
        <v>534</v>
      </c>
      <c r="Q70" s="27" t="s">
        <v>93</v>
      </c>
      <c r="R70" s="27" t="s">
        <v>101</v>
      </c>
      <c r="S70" s="8" t="s">
        <v>101</v>
      </c>
      <c r="T70" s="8" t="s">
        <v>101</v>
      </c>
      <c r="U70" s="8" t="s">
        <v>101</v>
      </c>
      <c r="V70" s="8">
        <v>7.93</v>
      </c>
      <c r="W70" s="11" t="s">
        <v>101</v>
      </c>
      <c r="X70" s="27"/>
      <c r="Y70" s="12"/>
      <c r="Z70" s="12"/>
      <c r="AA70" s="11" t="s">
        <v>364</v>
      </c>
      <c r="AB70" s="11" t="s">
        <v>359</v>
      </c>
      <c r="AC70" s="2" t="s">
        <v>897</v>
      </c>
      <c r="AD70" s="11" t="s">
        <v>303</v>
      </c>
      <c r="AE70" s="47" t="s">
        <v>408</v>
      </c>
      <c r="AF70" s="11" t="s">
        <v>373</v>
      </c>
      <c r="AG70" s="47" t="s">
        <v>966</v>
      </c>
      <c r="AH70" s="11" t="s">
        <v>372</v>
      </c>
      <c r="AI70" s="47" t="s">
        <v>939</v>
      </c>
      <c r="AJ70" s="11"/>
      <c r="AK70" s="11" t="s">
        <v>101</v>
      </c>
      <c r="AL70" s="11" t="s">
        <v>101</v>
      </c>
      <c r="AM70" s="11" t="s">
        <v>101</v>
      </c>
      <c r="AN70" s="11" t="s">
        <v>101</v>
      </c>
      <c r="AO70" s="8">
        <v>3373</v>
      </c>
      <c r="AP70" s="8" t="s">
        <v>101</v>
      </c>
      <c r="AQ70" s="8" t="s">
        <v>101</v>
      </c>
      <c r="AR70" s="8">
        <v>4390</v>
      </c>
      <c r="AS70" s="8" t="s">
        <v>101</v>
      </c>
      <c r="AT70" s="11">
        <f t="shared" si="7"/>
        <v>-30.151200711532759</v>
      </c>
      <c r="AU70" s="49">
        <v>-30.151200711532759</v>
      </c>
      <c r="AV70" s="8" t="s">
        <v>101</v>
      </c>
      <c r="AW70" s="11" t="s">
        <v>375</v>
      </c>
    </row>
    <row r="71" spans="1:49" ht="27.75" customHeight="1" thickTop="1" x14ac:dyDescent="0.35">
      <c r="A71" s="1">
        <v>23</v>
      </c>
      <c r="B71" s="2" t="s">
        <v>376</v>
      </c>
      <c r="C71" s="2" t="s">
        <v>377</v>
      </c>
      <c r="D71" s="2" t="s">
        <v>378</v>
      </c>
      <c r="E71" s="28" t="s">
        <v>873</v>
      </c>
      <c r="F71" s="2" t="s">
        <v>101</v>
      </c>
      <c r="G71" s="2" t="s">
        <v>382</v>
      </c>
      <c r="J71" s="2" t="s">
        <v>881</v>
      </c>
      <c r="K71" s="5" t="s">
        <v>380</v>
      </c>
      <c r="L71" s="5" t="s">
        <v>380</v>
      </c>
      <c r="M71" s="2" t="s">
        <v>381</v>
      </c>
      <c r="N71" s="47" t="s">
        <v>884</v>
      </c>
      <c r="O71" s="2" t="s">
        <v>379</v>
      </c>
      <c r="P71" s="47" t="s">
        <v>889</v>
      </c>
      <c r="Q71" s="26" t="s">
        <v>93</v>
      </c>
      <c r="R71" s="26" t="s">
        <v>101</v>
      </c>
      <c r="S71" s="1" t="s">
        <v>101</v>
      </c>
      <c r="T71" s="1" t="s">
        <v>101</v>
      </c>
      <c r="U71" s="1" t="s">
        <v>101</v>
      </c>
      <c r="V71" s="1" t="s">
        <v>101</v>
      </c>
      <c r="W71" s="2">
        <v>62600</v>
      </c>
      <c r="X71" s="47">
        <v>200</v>
      </c>
      <c r="Y71" s="15" t="s">
        <v>380</v>
      </c>
      <c r="Z71" s="15"/>
      <c r="AA71" s="2" t="s">
        <v>385</v>
      </c>
      <c r="AB71" s="2" t="s">
        <v>384</v>
      </c>
      <c r="AC71" s="2" t="s">
        <v>896</v>
      </c>
      <c r="AD71" s="1" t="s">
        <v>386</v>
      </c>
      <c r="AE71" s="26" t="s">
        <v>1034</v>
      </c>
      <c r="AF71" s="1" t="s">
        <v>383</v>
      </c>
      <c r="AG71" s="47" t="s">
        <v>966</v>
      </c>
      <c r="AH71" s="2" t="s">
        <v>101</v>
      </c>
      <c r="AI71" s="47"/>
      <c r="AK71" s="2" t="s">
        <v>101</v>
      </c>
      <c r="AL71" s="2" t="s">
        <v>101</v>
      </c>
      <c r="AM71" s="2" t="s">
        <v>101</v>
      </c>
      <c r="AN71" s="2" t="s">
        <v>101</v>
      </c>
      <c r="AO71" s="28">
        <f t="shared" ref="AO71:AO72" si="8">((5.793+0.522)/2)*72</f>
        <v>227.34</v>
      </c>
      <c r="AP71" s="2" t="s">
        <v>101</v>
      </c>
      <c r="AQ71" s="2" t="s">
        <v>101</v>
      </c>
      <c r="AR71" s="28">
        <f>((1.804+0.135)/2)*72</f>
        <v>69.804000000000002</v>
      </c>
      <c r="AS71" s="2" t="s">
        <v>101</v>
      </c>
      <c r="AT71" s="28">
        <f>((AO71-AR71)/AO71)*100</f>
        <v>69.295328582739515</v>
      </c>
      <c r="AU71" s="55">
        <v>69.295328582739515</v>
      </c>
      <c r="AV71" s="2" t="s">
        <v>101</v>
      </c>
      <c r="AW71" s="2" t="s">
        <v>388</v>
      </c>
    </row>
    <row r="72" spans="1:49" s="8" customFormat="1" ht="27.75" customHeight="1" thickBot="1" x14ac:dyDescent="0.4">
      <c r="A72" s="8">
        <v>23</v>
      </c>
      <c r="B72" s="11" t="s">
        <v>376</v>
      </c>
      <c r="C72" s="11" t="s">
        <v>377</v>
      </c>
      <c r="D72" s="11" t="s">
        <v>378</v>
      </c>
      <c r="E72" s="29" t="s">
        <v>873</v>
      </c>
      <c r="F72" s="11" t="s">
        <v>101</v>
      </c>
      <c r="G72" s="11" t="s">
        <v>382</v>
      </c>
      <c r="H72" s="11"/>
      <c r="I72" s="11"/>
      <c r="J72" s="2" t="s">
        <v>881</v>
      </c>
      <c r="K72" s="9" t="s">
        <v>380</v>
      </c>
      <c r="L72" s="9" t="s">
        <v>380</v>
      </c>
      <c r="M72" s="11" t="s">
        <v>381</v>
      </c>
      <c r="N72" s="47" t="s">
        <v>884</v>
      </c>
      <c r="O72" s="11" t="s">
        <v>379</v>
      </c>
      <c r="P72" s="47" t="s">
        <v>889</v>
      </c>
      <c r="Q72" s="27" t="s">
        <v>93</v>
      </c>
      <c r="R72" s="27" t="s">
        <v>101</v>
      </c>
      <c r="S72" s="8" t="s">
        <v>101</v>
      </c>
      <c r="T72" s="8" t="s">
        <v>101</v>
      </c>
      <c r="U72" s="8" t="s">
        <v>101</v>
      </c>
      <c r="V72" s="8" t="s">
        <v>101</v>
      </c>
      <c r="W72" s="11">
        <v>62600</v>
      </c>
      <c r="X72" s="49">
        <v>200</v>
      </c>
      <c r="Y72" s="17" t="s">
        <v>380</v>
      </c>
      <c r="Z72" s="17"/>
      <c r="AA72" s="11" t="s">
        <v>385</v>
      </c>
      <c r="AB72" s="11" t="s">
        <v>384</v>
      </c>
      <c r="AC72" s="2" t="s">
        <v>896</v>
      </c>
      <c r="AD72" s="11" t="s">
        <v>387</v>
      </c>
      <c r="AE72" s="49" t="s">
        <v>917</v>
      </c>
      <c r="AF72" s="8" t="s">
        <v>383</v>
      </c>
      <c r="AG72" s="47" t="s">
        <v>966</v>
      </c>
      <c r="AH72" s="11" t="s">
        <v>101</v>
      </c>
      <c r="AI72" s="49"/>
      <c r="AJ72" s="11"/>
      <c r="AK72" s="11" t="s">
        <v>101</v>
      </c>
      <c r="AL72" s="11" t="s">
        <v>101</v>
      </c>
      <c r="AM72" s="11" t="s">
        <v>101</v>
      </c>
      <c r="AN72" s="11" t="s">
        <v>101</v>
      </c>
      <c r="AO72" s="28">
        <f t="shared" si="8"/>
        <v>227.34</v>
      </c>
      <c r="AP72" s="11" t="s">
        <v>101</v>
      </c>
      <c r="AQ72" s="11" t="s">
        <v>101</v>
      </c>
      <c r="AR72" s="29">
        <f>((4.623+0.603)/2)*72</f>
        <v>188.136</v>
      </c>
      <c r="AS72" s="11" t="s">
        <v>101</v>
      </c>
      <c r="AT72" s="28">
        <f>((AO72-AR72)/AO72)*100</f>
        <v>17.244655581947747</v>
      </c>
      <c r="AU72" s="55">
        <v>17.244655581947747</v>
      </c>
      <c r="AV72" s="11" t="s">
        <v>101</v>
      </c>
      <c r="AW72" s="11" t="s">
        <v>388</v>
      </c>
    </row>
    <row r="73" spans="1:49" ht="27.75" customHeight="1" thickTop="1" x14ac:dyDescent="0.35">
      <c r="A73" s="1">
        <v>25</v>
      </c>
      <c r="B73" s="2" t="s">
        <v>389</v>
      </c>
      <c r="C73" s="2" t="s">
        <v>390</v>
      </c>
      <c r="D73" s="2" t="s">
        <v>391</v>
      </c>
      <c r="E73" s="2" t="s">
        <v>337</v>
      </c>
      <c r="F73" s="2" t="s">
        <v>101</v>
      </c>
      <c r="G73" s="2" t="s">
        <v>392</v>
      </c>
      <c r="H73" s="2">
        <v>152</v>
      </c>
      <c r="I73" s="2">
        <v>366</v>
      </c>
      <c r="J73" s="2" t="s">
        <v>881</v>
      </c>
      <c r="K73" s="5">
        <v>43009</v>
      </c>
      <c r="L73" s="5">
        <v>43374</v>
      </c>
      <c r="M73" s="2" t="s">
        <v>393</v>
      </c>
      <c r="N73" s="47" t="s">
        <v>886</v>
      </c>
      <c r="O73" s="2" t="s">
        <v>352</v>
      </c>
      <c r="P73" s="47" t="s">
        <v>534</v>
      </c>
      <c r="Q73" s="26" t="s">
        <v>93</v>
      </c>
      <c r="R73" s="26" t="s">
        <v>101</v>
      </c>
      <c r="S73" s="1" t="s">
        <v>101</v>
      </c>
      <c r="T73" s="1" t="s">
        <v>101</v>
      </c>
      <c r="U73" s="1" t="s">
        <v>101</v>
      </c>
      <c r="V73" s="1" t="s">
        <v>101</v>
      </c>
      <c r="W73" s="2">
        <v>77</v>
      </c>
      <c r="X73" s="47">
        <v>170</v>
      </c>
      <c r="Y73" s="15">
        <v>43025</v>
      </c>
      <c r="Z73" s="15"/>
      <c r="AA73" s="2" t="s">
        <v>397</v>
      </c>
      <c r="AB73" s="2" t="s">
        <v>396</v>
      </c>
      <c r="AC73" s="2" t="s">
        <v>895</v>
      </c>
      <c r="AD73" s="2" t="s">
        <v>395</v>
      </c>
      <c r="AE73" s="47" t="s">
        <v>1035</v>
      </c>
      <c r="AF73" s="2" t="s">
        <v>394</v>
      </c>
      <c r="AG73" s="47" t="s">
        <v>966</v>
      </c>
      <c r="AH73" s="2" t="s">
        <v>101</v>
      </c>
      <c r="AI73" s="47"/>
      <c r="AK73" s="2" t="s">
        <v>101</v>
      </c>
      <c r="AL73" s="2" t="s">
        <v>101</v>
      </c>
      <c r="AM73" s="2" t="s">
        <v>101</v>
      </c>
      <c r="AN73" s="2" t="s">
        <v>101</v>
      </c>
      <c r="AO73" s="1">
        <v>69.84</v>
      </c>
      <c r="AP73" s="1" t="s">
        <v>101</v>
      </c>
      <c r="AQ73" s="1" t="s">
        <v>101</v>
      </c>
      <c r="AR73" s="1">
        <v>29.56</v>
      </c>
      <c r="AS73" s="1" t="s">
        <v>101</v>
      </c>
      <c r="AT73" s="2">
        <f>((AO73-AR73)/AO73)*100</f>
        <v>57.674684994272617</v>
      </c>
      <c r="AU73" s="59">
        <v>57.674684994272617</v>
      </c>
      <c r="AV73" s="1" t="s">
        <v>101</v>
      </c>
      <c r="AW73" s="2" t="s">
        <v>400</v>
      </c>
    </row>
    <row r="74" spans="1:49" ht="27.75" customHeight="1" x14ac:dyDescent="0.35">
      <c r="A74" s="1">
        <v>25</v>
      </c>
      <c r="B74" s="2" t="s">
        <v>389</v>
      </c>
      <c r="C74" s="2" t="s">
        <v>390</v>
      </c>
      <c r="D74" s="2" t="s">
        <v>391</v>
      </c>
      <c r="E74" s="2" t="s">
        <v>337</v>
      </c>
      <c r="F74" s="2" t="s">
        <v>101</v>
      </c>
      <c r="G74" s="2" t="s">
        <v>392</v>
      </c>
      <c r="H74" s="2">
        <v>152</v>
      </c>
      <c r="I74" s="2">
        <v>366</v>
      </c>
      <c r="J74" s="2" t="s">
        <v>881</v>
      </c>
      <c r="K74" s="5">
        <v>43009</v>
      </c>
      <c r="L74" s="5">
        <v>43374</v>
      </c>
      <c r="M74" s="2" t="s">
        <v>393</v>
      </c>
      <c r="N74" s="47" t="s">
        <v>886</v>
      </c>
      <c r="O74" s="2" t="s">
        <v>352</v>
      </c>
      <c r="P74" s="47" t="s">
        <v>534</v>
      </c>
      <c r="Q74" s="26" t="s">
        <v>93</v>
      </c>
      <c r="R74" s="26" t="s">
        <v>101</v>
      </c>
      <c r="S74" s="1" t="s">
        <v>101</v>
      </c>
      <c r="T74" s="1" t="s">
        <v>101</v>
      </c>
      <c r="U74" s="1" t="s">
        <v>101</v>
      </c>
      <c r="V74" s="1" t="s">
        <v>101</v>
      </c>
      <c r="W74" s="2">
        <v>82</v>
      </c>
      <c r="X74" s="47">
        <v>172</v>
      </c>
      <c r="Y74" s="15">
        <v>43115</v>
      </c>
      <c r="Z74" s="15"/>
      <c r="AA74" s="2" t="s">
        <v>398</v>
      </c>
      <c r="AB74" s="2" t="s">
        <v>396</v>
      </c>
      <c r="AC74" s="2" t="s">
        <v>895</v>
      </c>
      <c r="AD74" s="2" t="s">
        <v>395</v>
      </c>
      <c r="AE74" s="47" t="s">
        <v>1035</v>
      </c>
      <c r="AF74" s="2" t="s">
        <v>394</v>
      </c>
      <c r="AG74" s="47" t="s">
        <v>966</v>
      </c>
      <c r="AH74" s="2" t="s">
        <v>101</v>
      </c>
      <c r="AI74" s="47"/>
      <c r="AK74" s="2" t="s">
        <v>101</v>
      </c>
      <c r="AL74" s="2" t="s">
        <v>101</v>
      </c>
      <c r="AM74" s="2" t="s">
        <v>101</v>
      </c>
      <c r="AN74" s="2" t="s">
        <v>101</v>
      </c>
      <c r="AO74" s="1">
        <v>24.08</v>
      </c>
      <c r="AP74" s="1" t="s">
        <v>101</v>
      </c>
      <c r="AQ74" s="1" t="s">
        <v>101</v>
      </c>
      <c r="AR74" s="1">
        <v>26.06</v>
      </c>
      <c r="AS74" s="1" t="s">
        <v>101</v>
      </c>
      <c r="AT74" s="2">
        <f t="shared" ref="AT74:AT75" si="9">((AO74-AR74)/AO74)*100</f>
        <v>-8.2225913621262485</v>
      </c>
      <c r="AU74" s="59">
        <v>-8.2225913621262485</v>
      </c>
      <c r="AV74" s="1" t="s">
        <v>101</v>
      </c>
      <c r="AW74" s="2" t="s">
        <v>400</v>
      </c>
    </row>
    <row r="75" spans="1:49" s="8" customFormat="1" ht="27.75" customHeight="1" thickBot="1" x14ac:dyDescent="0.4">
      <c r="A75" s="8">
        <v>25</v>
      </c>
      <c r="B75" s="11" t="s">
        <v>389</v>
      </c>
      <c r="C75" s="11" t="s">
        <v>390</v>
      </c>
      <c r="D75" s="11" t="s">
        <v>391</v>
      </c>
      <c r="E75" s="11" t="s">
        <v>337</v>
      </c>
      <c r="F75" s="11" t="s">
        <v>101</v>
      </c>
      <c r="G75" s="11" t="s">
        <v>392</v>
      </c>
      <c r="H75" s="2">
        <v>152</v>
      </c>
      <c r="I75" s="2">
        <v>366</v>
      </c>
      <c r="J75" s="2" t="s">
        <v>881</v>
      </c>
      <c r="K75" s="9">
        <v>43009</v>
      </c>
      <c r="L75" s="9">
        <v>43374</v>
      </c>
      <c r="M75" s="11" t="s">
        <v>393</v>
      </c>
      <c r="N75" s="47" t="s">
        <v>886</v>
      </c>
      <c r="O75" s="11" t="s">
        <v>352</v>
      </c>
      <c r="P75" s="47" t="s">
        <v>534</v>
      </c>
      <c r="Q75" s="27" t="s">
        <v>93</v>
      </c>
      <c r="R75" s="27" t="s">
        <v>101</v>
      </c>
      <c r="S75" s="8" t="s">
        <v>101</v>
      </c>
      <c r="T75" s="8" t="s">
        <v>101</v>
      </c>
      <c r="U75" s="8" t="s">
        <v>101</v>
      </c>
      <c r="V75" s="8" t="s">
        <v>101</v>
      </c>
      <c r="W75" s="11">
        <v>85</v>
      </c>
      <c r="X75" s="49">
        <v>172</v>
      </c>
      <c r="Y75" s="17">
        <v>43185</v>
      </c>
      <c r="Z75" s="17"/>
      <c r="AA75" s="11" t="s">
        <v>399</v>
      </c>
      <c r="AB75" s="11" t="s">
        <v>396</v>
      </c>
      <c r="AC75" s="2" t="s">
        <v>895</v>
      </c>
      <c r="AD75" s="11" t="s">
        <v>395</v>
      </c>
      <c r="AE75" s="47" t="s">
        <v>1035</v>
      </c>
      <c r="AF75" s="11" t="s">
        <v>394</v>
      </c>
      <c r="AG75" s="47" t="s">
        <v>966</v>
      </c>
      <c r="AH75" s="11" t="s">
        <v>101</v>
      </c>
      <c r="AI75" s="49"/>
      <c r="AJ75" s="11"/>
      <c r="AK75" s="11" t="s">
        <v>101</v>
      </c>
      <c r="AL75" s="11" t="s">
        <v>101</v>
      </c>
      <c r="AM75" s="11" t="s">
        <v>101</v>
      </c>
      <c r="AN75" s="11" t="s">
        <v>101</v>
      </c>
      <c r="AO75" s="8">
        <v>34.44</v>
      </c>
      <c r="AP75" s="8" t="s">
        <v>101</v>
      </c>
      <c r="AQ75" s="8" t="s">
        <v>101</v>
      </c>
      <c r="AR75" s="8">
        <v>44.05</v>
      </c>
      <c r="AS75" s="8" t="s">
        <v>101</v>
      </c>
      <c r="AT75" s="11">
        <f t="shared" si="9"/>
        <v>-27.903600464576073</v>
      </c>
      <c r="AU75" s="49">
        <v>-27.903600464576073</v>
      </c>
      <c r="AV75" s="8" t="s">
        <v>101</v>
      </c>
      <c r="AW75" s="11" t="s">
        <v>400</v>
      </c>
    </row>
    <row r="76" spans="1:49" s="8" customFormat="1" ht="27.75" customHeight="1" thickTop="1" thickBot="1" x14ac:dyDescent="0.4">
      <c r="A76" s="8">
        <v>26</v>
      </c>
      <c r="B76" s="11" t="s">
        <v>401</v>
      </c>
      <c r="C76" s="11" t="s">
        <v>402</v>
      </c>
      <c r="D76" s="11" t="s">
        <v>403</v>
      </c>
      <c r="E76" s="29" t="s">
        <v>873</v>
      </c>
      <c r="F76" s="11" t="s">
        <v>404</v>
      </c>
      <c r="G76" s="11" t="s">
        <v>101</v>
      </c>
      <c r="H76" s="11"/>
      <c r="I76" s="11"/>
      <c r="J76" s="11"/>
      <c r="K76" s="9">
        <v>38521</v>
      </c>
      <c r="L76" s="9">
        <v>38803</v>
      </c>
      <c r="M76" s="11" t="s">
        <v>410</v>
      </c>
      <c r="N76" s="49" t="s">
        <v>886</v>
      </c>
      <c r="O76" s="11" t="s">
        <v>411</v>
      </c>
      <c r="P76" s="47" t="s">
        <v>411</v>
      </c>
      <c r="Q76" s="27" t="s">
        <v>101</v>
      </c>
      <c r="R76" s="27" t="s">
        <v>101</v>
      </c>
      <c r="S76" s="8" t="s">
        <v>101</v>
      </c>
      <c r="T76" s="8" t="s">
        <v>101</v>
      </c>
      <c r="U76" s="8" t="s">
        <v>101</v>
      </c>
      <c r="V76" s="8" t="s">
        <v>101</v>
      </c>
      <c r="W76" s="11">
        <v>5.6</v>
      </c>
      <c r="X76" s="49">
        <v>224</v>
      </c>
      <c r="Y76" s="17" t="s">
        <v>406</v>
      </c>
      <c r="Z76" s="17"/>
      <c r="AA76" s="11" t="s">
        <v>407</v>
      </c>
      <c r="AB76" s="11" t="s">
        <v>405</v>
      </c>
      <c r="AC76" s="2" t="s">
        <v>895</v>
      </c>
      <c r="AD76" s="11" t="s">
        <v>409</v>
      </c>
      <c r="AE76" s="47" t="s">
        <v>916</v>
      </c>
      <c r="AF76" s="11" t="s">
        <v>408</v>
      </c>
      <c r="AG76" s="47" t="s">
        <v>966</v>
      </c>
      <c r="AH76" s="8" t="s">
        <v>101</v>
      </c>
      <c r="AI76" s="27"/>
      <c r="AK76" s="8" t="s">
        <v>101</v>
      </c>
      <c r="AL76" s="8" t="s">
        <v>101</v>
      </c>
      <c r="AM76" s="8" t="s">
        <v>101</v>
      </c>
      <c r="AN76" s="8" t="s">
        <v>101</v>
      </c>
      <c r="AO76" s="8">
        <v>34</v>
      </c>
      <c r="AP76" s="8" t="s">
        <v>101</v>
      </c>
      <c r="AQ76" s="8" t="s">
        <v>101</v>
      </c>
      <c r="AR76" s="8">
        <v>0</v>
      </c>
      <c r="AS76" s="11" t="s">
        <v>101</v>
      </c>
      <c r="AT76" s="11">
        <f>((AO76-AR76)/AO76 * 100)-0.1</f>
        <v>99.9</v>
      </c>
      <c r="AU76" s="49">
        <v>99.9</v>
      </c>
      <c r="AV76" s="11" t="s">
        <v>101</v>
      </c>
      <c r="AW76" s="11" t="s">
        <v>412</v>
      </c>
    </row>
    <row r="77" spans="1:49" ht="27.75" customHeight="1" thickTop="1" x14ac:dyDescent="0.35">
      <c r="A77" s="1">
        <v>27</v>
      </c>
      <c r="B77" s="2" t="s">
        <v>413</v>
      </c>
      <c r="C77" s="2" t="s">
        <v>414</v>
      </c>
      <c r="D77" s="2" t="s">
        <v>200</v>
      </c>
      <c r="E77" s="28" t="s">
        <v>867</v>
      </c>
      <c r="F77" s="2" t="s">
        <v>101</v>
      </c>
      <c r="G77" s="2" t="s">
        <v>415</v>
      </c>
      <c r="J77" s="2" t="s">
        <v>881</v>
      </c>
      <c r="K77" s="1">
        <v>2008</v>
      </c>
      <c r="L77" s="1">
        <v>2008</v>
      </c>
      <c r="M77" s="2" t="s">
        <v>416</v>
      </c>
      <c r="N77" s="47" t="s">
        <v>884</v>
      </c>
      <c r="O77" s="2" t="s">
        <v>423</v>
      </c>
      <c r="P77" s="47" t="s">
        <v>889</v>
      </c>
      <c r="Q77" s="26" t="s">
        <v>93</v>
      </c>
      <c r="R77" s="26">
        <v>3.4</v>
      </c>
      <c r="S77" s="1" t="s">
        <v>101</v>
      </c>
      <c r="T77" s="1" t="s">
        <v>101</v>
      </c>
      <c r="U77" s="1" t="s">
        <v>101</v>
      </c>
      <c r="V77" s="1" t="s">
        <v>101</v>
      </c>
      <c r="W77" s="2">
        <v>28061</v>
      </c>
      <c r="X77" s="47">
        <v>74</v>
      </c>
      <c r="Y77" s="15" t="s">
        <v>424</v>
      </c>
      <c r="Z77" s="15"/>
      <c r="AA77" s="2" t="s">
        <v>186</v>
      </c>
      <c r="AB77" s="2" t="s">
        <v>426</v>
      </c>
      <c r="AC77" s="2" t="s">
        <v>846</v>
      </c>
      <c r="AD77" s="2" t="s">
        <v>419</v>
      </c>
      <c r="AE77" s="47" t="s">
        <v>917</v>
      </c>
      <c r="AF77" s="2" t="s">
        <v>418</v>
      </c>
      <c r="AG77" s="47" t="s">
        <v>966</v>
      </c>
      <c r="AH77" s="2" t="s">
        <v>101</v>
      </c>
      <c r="AI77" s="47"/>
      <c r="AK77" s="2" t="s">
        <v>101</v>
      </c>
      <c r="AL77" s="2" t="s">
        <v>101</v>
      </c>
      <c r="AM77" s="2" t="s">
        <v>101</v>
      </c>
      <c r="AN77" s="2" t="s">
        <v>101</v>
      </c>
      <c r="AO77" s="1">
        <v>10.199999999999999</v>
      </c>
      <c r="AP77" s="1" t="s">
        <v>101</v>
      </c>
      <c r="AQ77" s="1" t="s">
        <v>101</v>
      </c>
      <c r="AR77" s="1">
        <v>6.41</v>
      </c>
      <c r="AS77" s="1" t="s">
        <v>101</v>
      </c>
      <c r="AT77" s="2">
        <f t="shared" ref="AT77:AT84" si="10">((AO77-AR77)/AO77)*100</f>
        <v>37.156862745098032</v>
      </c>
      <c r="AU77" s="47">
        <v>37.156862745098032</v>
      </c>
      <c r="AV77" s="1" t="s">
        <v>101</v>
      </c>
      <c r="AW77" s="2" t="s">
        <v>427</v>
      </c>
    </row>
    <row r="78" spans="1:49" ht="27.75" customHeight="1" x14ac:dyDescent="0.35">
      <c r="A78" s="1">
        <v>27</v>
      </c>
      <c r="B78" s="2" t="s">
        <v>413</v>
      </c>
      <c r="C78" s="2" t="s">
        <v>414</v>
      </c>
      <c r="D78" s="2" t="s">
        <v>200</v>
      </c>
      <c r="E78" s="28" t="s">
        <v>867</v>
      </c>
      <c r="F78" s="2" t="s">
        <v>101</v>
      </c>
      <c r="G78" s="2" t="s">
        <v>415</v>
      </c>
      <c r="J78" s="2" t="s">
        <v>881</v>
      </c>
      <c r="K78" s="1">
        <v>2008</v>
      </c>
      <c r="L78" s="1">
        <v>2008</v>
      </c>
      <c r="M78" s="2" t="s">
        <v>416</v>
      </c>
      <c r="N78" s="47" t="s">
        <v>884</v>
      </c>
      <c r="O78" s="2" t="s">
        <v>423</v>
      </c>
      <c r="P78" s="47" t="s">
        <v>889</v>
      </c>
      <c r="Q78" s="26" t="s">
        <v>93</v>
      </c>
      <c r="R78" s="26">
        <v>3.4</v>
      </c>
      <c r="S78" s="1" t="s">
        <v>101</v>
      </c>
      <c r="T78" s="1" t="s">
        <v>101</v>
      </c>
      <c r="U78" s="1" t="s">
        <v>101</v>
      </c>
      <c r="V78" s="1" t="s">
        <v>101</v>
      </c>
      <c r="W78" s="2">
        <v>28061</v>
      </c>
      <c r="X78" s="47">
        <v>74</v>
      </c>
      <c r="Y78" s="15" t="s">
        <v>424</v>
      </c>
      <c r="Z78" s="15"/>
      <c r="AA78" s="2" t="s">
        <v>186</v>
      </c>
      <c r="AB78" s="2" t="s">
        <v>426</v>
      </c>
      <c r="AC78" s="2" t="s">
        <v>846</v>
      </c>
      <c r="AD78" s="2" t="s">
        <v>420</v>
      </c>
      <c r="AE78" s="47" t="s">
        <v>917</v>
      </c>
      <c r="AF78" s="2" t="s">
        <v>418</v>
      </c>
      <c r="AG78" s="47" t="s">
        <v>966</v>
      </c>
      <c r="AH78" s="2" t="s">
        <v>101</v>
      </c>
      <c r="AI78" s="47"/>
      <c r="AK78" s="2" t="s">
        <v>101</v>
      </c>
      <c r="AL78" s="2" t="s">
        <v>101</v>
      </c>
      <c r="AM78" s="2" t="s">
        <v>101</v>
      </c>
      <c r="AN78" s="2" t="s">
        <v>101</v>
      </c>
      <c r="AO78" s="1">
        <v>10.199999999999999</v>
      </c>
      <c r="AP78" s="1" t="s">
        <v>101</v>
      </c>
      <c r="AQ78" s="1" t="s">
        <v>101</v>
      </c>
      <c r="AR78" s="1">
        <v>2.64</v>
      </c>
      <c r="AS78" s="1" t="s">
        <v>101</v>
      </c>
      <c r="AT78" s="2">
        <f t="shared" si="10"/>
        <v>74.117647058823522</v>
      </c>
      <c r="AU78" s="47">
        <v>74.117647058823522</v>
      </c>
      <c r="AV78" s="1" t="s">
        <v>101</v>
      </c>
      <c r="AW78" s="2" t="s">
        <v>427</v>
      </c>
    </row>
    <row r="79" spans="1:49" ht="27.75" customHeight="1" x14ac:dyDescent="0.35">
      <c r="A79" s="1">
        <v>27</v>
      </c>
      <c r="B79" s="2" t="s">
        <v>413</v>
      </c>
      <c r="C79" s="2" t="s">
        <v>414</v>
      </c>
      <c r="D79" s="2" t="s">
        <v>200</v>
      </c>
      <c r="E79" s="28" t="s">
        <v>867</v>
      </c>
      <c r="F79" s="2" t="s">
        <v>101</v>
      </c>
      <c r="G79" s="2" t="s">
        <v>415</v>
      </c>
      <c r="J79" s="2" t="s">
        <v>881</v>
      </c>
      <c r="K79" s="1">
        <v>2008</v>
      </c>
      <c r="L79" s="1">
        <v>2008</v>
      </c>
      <c r="M79" s="2" t="s">
        <v>416</v>
      </c>
      <c r="N79" s="47" t="s">
        <v>884</v>
      </c>
      <c r="O79" s="2" t="s">
        <v>423</v>
      </c>
      <c r="P79" s="47" t="s">
        <v>889</v>
      </c>
      <c r="Q79" s="26" t="s">
        <v>93</v>
      </c>
      <c r="R79" s="26">
        <v>3.4</v>
      </c>
      <c r="S79" s="1" t="s">
        <v>101</v>
      </c>
      <c r="T79" s="1" t="s">
        <v>101</v>
      </c>
      <c r="U79" s="1" t="s">
        <v>101</v>
      </c>
      <c r="V79" s="1" t="s">
        <v>101</v>
      </c>
      <c r="W79" s="2">
        <v>28061</v>
      </c>
      <c r="X79" s="47">
        <v>74</v>
      </c>
      <c r="Y79" s="15" t="s">
        <v>424</v>
      </c>
      <c r="Z79" s="15"/>
      <c r="AA79" s="2" t="s">
        <v>186</v>
      </c>
      <c r="AB79" s="2" t="s">
        <v>426</v>
      </c>
      <c r="AC79" s="2" t="s">
        <v>846</v>
      </c>
      <c r="AD79" s="2" t="s">
        <v>421</v>
      </c>
      <c r="AE79" s="47" t="s">
        <v>917</v>
      </c>
      <c r="AF79" s="2" t="s">
        <v>418</v>
      </c>
      <c r="AG79" s="47" t="s">
        <v>966</v>
      </c>
      <c r="AH79" s="2" t="s">
        <v>101</v>
      </c>
      <c r="AI79" s="47"/>
      <c r="AK79" s="2" t="s">
        <v>101</v>
      </c>
      <c r="AL79" s="2" t="s">
        <v>101</v>
      </c>
      <c r="AM79" s="2" t="s">
        <v>101</v>
      </c>
      <c r="AN79" s="2" t="s">
        <v>101</v>
      </c>
      <c r="AO79" s="1">
        <v>10.199999999999999</v>
      </c>
      <c r="AP79" s="1" t="s">
        <v>101</v>
      </c>
      <c r="AQ79" s="1" t="s">
        <v>101</v>
      </c>
      <c r="AR79" s="1">
        <v>4.05</v>
      </c>
      <c r="AS79" s="1" t="s">
        <v>101</v>
      </c>
      <c r="AT79" s="2">
        <f t="shared" si="10"/>
        <v>60.294117647058819</v>
      </c>
      <c r="AU79" s="47">
        <v>60.294117647058819</v>
      </c>
      <c r="AV79" s="1" t="s">
        <v>101</v>
      </c>
      <c r="AW79" s="2" t="s">
        <v>427</v>
      </c>
    </row>
    <row r="80" spans="1:49" s="22" customFormat="1" ht="27.75" customHeight="1" x14ac:dyDescent="0.35">
      <c r="A80" s="22">
        <v>27</v>
      </c>
      <c r="B80" s="23" t="s">
        <v>413</v>
      </c>
      <c r="C80" s="23" t="s">
        <v>414</v>
      </c>
      <c r="D80" s="23" t="s">
        <v>200</v>
      </c>
      <c r="E80" s="28" t="s">
        <v>867</v>
      </c>
      <c r="F80" s="23" t="s">
        <v>101</v>
      </c>
      <c r="G80" s="23" t="s">
        <v>415</v>
      </c>
      <c r="H80" s="23"/>
      <c r="I80" s="23"/>
      <c r="J80" s="2" t="s">
        <v>881</v>
      </c>
      <c r="K80" s="22">
        <v>2008</v>
      </c>
      <c r="L80" s="22">
        <v>2008</v>
      </c>
      <c r="M80" s="2" t="s">
        <v>416</v>
      </c>
      <c r="N80" s="47" t="s">
        <v>884</v>
      </c>
      <c r="O80" s="2" t="s">
        <v>423</v>
      </c>
      <c r="P80" s="47" t="s">
        <v>889</v>
      </c>
      <c r="Q80" s="26" t="s">
        <v>93</v>
      </c>
      <c r="R80" s="51">
        <v>3.4</v>
      </c>
      <c r="S80" s="1" t="s">
        <v>101</v>
      </c>
      <c r="T80" s="1" t="s">
        <v>101</v>
      </c>
      <c r="U80" s="1" t="s">
        <v>101</v>
      </c>
      <c r="V80" s="1" t="s">
        <v>101</v>
      </c>
      <c r="W80" s="23">
        <v>28061</v>
      </c>
      <c r="X80" s="54">
        <v>74</v>
      </c>
      <c r="Y80" s="15" t="s">
        <v>424</v>
      </c>
      <c r="Z80" s="15"/>
      <c r="AA80" s="23" t="s">
        <v>186</v>
      </c>
      <c r="AB80" s="2" t="s">
        <v>426</v>
      </c>
      <c r="AC80" s="2" t="s">
        <v>846</v>
      </c>
      <c r="AD80" s="23" t="s">
        <v>422</v>
      </c>
      <c r="AE80" s="47" t="s">
        <v>917</v>
      </c>
      <c r="AF80" s="23" t="s">
        <v>418</v>
      </c>
      <c r="AG80" s="47" t="s">
        <v>966</v>
      </c>
      <c r="AH80" s="2" t="s">
        <v>101</v>
      </c>
      <c r="AI80" s="47"/>
      <c r="AJ80" s="2"/>
      <c r="AK80" s="2" t="s">
        <v>101</v>
      </c>
      <c r="AL80" s="2" t="s">
        <v>101</v>
      </c>
      <c r="AM80" s="2" t="s">
        <v>101</v>
      </c>
      <c r="AN80" s="2" t="s">
        <v>101</v>
      </c>
      <c r="AO80" s="22">
        <v>10.199999999999999</v>
      </c>
      <c r="AP80" s="1" t="s">
        <v>101</v>
      </c>
      <c r="AQ80" s="1" t="s">
        <v>101</v>
      </c>
      <c r="AR80" s="22">
        <v>2.35</v>
      </c>
      <c r="AS80" s="1" t="s">
        <v>101</v>
      </c>
      <c r="AT80" s="2">
        <f t="shared" si="10"/>
        <v>76.960784313725497</v>
      </c>
      <c r="AU80" s="47">
        <v>76.960784313725497</v>
      </c>
      <c r="AV80" s="1" t="s">
        <v>101</v>
      </c>
      <c r="AW80" s="2" t="s">
        <v>427</v>
      </c>
    </row>
    <row r="81" spans="1:50" ht="27.75" customHeight="1" x14ac:dyDescent="0.35">
      <c r="A81" s="1">
        <v>27</v>
      </c>
      <c r="B81" s="2" t="s">
        <v>413</v>
      </c>
      <c r="C81" s="2" t="s">
        <v>414</v>
      </c>
      <c r="D81" s="2" t="s">
        <v>200</v>
      </c>
      <c r="E81" s="28" t="s">
        <v>867</v>
      </c>
      <c r="F81" s="2" t="s">
        <v>101</v>
      </c>
      <c r="G81" s="2" t="s">
        <v>415</v>
      </c>
      <c r="J81" s="2" t="s">
        <v>881</v>
      </c>
      <c r="K81" s="1">
        <v>2009</v>
      </c>
      <c r="L81" s="1">
        <v>2009</v>
      </c>
      <c r="M81" s="2" t="s">
        <v>417</v>
      </c>
      <c r="N81" s="47" t="s">
        <v>884</v>
      </c>
      <c r="O81" s="2" t="s">
        <v>423</v>
      </c>
      <c r="P81" s="47" t="s">
        <v>889</v>
      </c>
      <c r="Q81" s="26" t="s">
        <v>93</v>
      </c>
      <c r="R81" s="26">
        <v>1.6</v>
      </c>
      <c r="S81" s="1" t="s">
        <v>101</v>
      </c>
      <c r="T81" s="1" t="s">
        <v>101</v>
      </c>
      <c r="U81" s="1" t="s">
        <v>101</v>
      </c>
      <c r="V81" s="1" t="s">
        <v>101</v>
      </c>
      <c r="W81" s="2">
        <v>56123</v>
      </c>
      <c r="X81" s="47">
        <v>150</v>
      </c>
      <c r="Y81" s="15" t="s">
        <v>425</v>
      </c>
      <c r="Z81" s="15"/>
      <c r="AA81" s="2" t="s">
        <v>186</v>
      </c>
      <c r="AB81" s="2" t="s">
        <v>426</v>
      </c>
      <c r="AC81" s="2" t="s">
        <v>846</v>
      </c>
      <c r="AD81" s="2" t="s">
        <v>419</v>
      </c>
      <c r="AE81" s="47" t="s">
        <v>917</v>
      </c>
      <c r="AF81" s="2" t="s">
        <v>418</v>
      </c>
      <c r="AG81" s="47" t="s">
        <v>966</v>
      </c>
      <c r="AH81" s="2" t="s">
        <v>101</v>
      </c>
      <c r="AI81" s="47"/>
      <c r="AK81" s="2" t="s">
        <v>101</v>
      </c>
      <c r="AL81" s="2" t="s">
        <v>101</v>
      </c>
      <c r="AM81" s="2" t="s">
        <v>101</v>
      </c>
      <c r="AN81" s="2" t="s">
        <v>101</v>
      </c>
      <c r="AO81" s="1">
        <v>34.82</v>
      </c>
      <c r="AP81" s="1" t="s">
        <v>101</v>
      </c>
      <c r="AQ81" s="1" t="s">
        <v>101</v>
      </c>
      <c r="AR81" s="1">
        <v>28.07</v>
      </c>
      <c r="AS81" s="1" t="s">
        <v>101</v>
      </c>
      <c r="AT81" s="2">
        <f t="shared" si="10"/>
        <v>19.385410683515222</v>
      </c>
      <c r="AU81" s="47">
        <v>19.385410683515222</v>
      </c>
      <c r="AV81" s="1" t="s">
        <v>101</v>
      </c>
      <c r="AW81" s="2" t="s">
        <v>427</v>
      </c>
    </row>
    <row r="82" spans="1:50" ht="27.75" customHeight="1" x14ac:dyDescent="0.35">
      <c r="A82" s="1">
        <v>27</v>
      </c>
      <c r="B82" s="2" t="s">
        <v>413</v>
      </c>
      <c r="C82" s="2" t="s">
        <v>414</v>
      </c>
      <c r="D82" s="2" t="s">
        <v>200</v>
      </c>
      <c r="E82" s="28" t="s">
        <v>867</v>
      </c>
      <c r="F82" s="2" t="s">
        <v>101</v>
      </c>
      <c r="G82" s="2" t="s">
        <v>415</v>
      </c>
      <c r="J82" s="2" t="s">
        <v>881</v>
      </c>
      <c r="K82" s="1">
        <v>2009</v>
      </c>
      <c r="L82" s="1">
        <v>2009</v>
      </c>
      <c r="M82" s="2" t="s">
        <v>417</v>
      </c>
      <c r="N82" s="47" t="s">
        <v>884</v>
      </c>
      <c r="O82" s="2" t="s">
        <v>423</v>
      </c>
      <c r="P82" s="47" t="s">
        <v>889</v>
      </c>
      <c r="Q82" s="26" t="s">
        <v>93</v>
      </c>
      <c r="R82" s="26">
        <v>1.6</v>
      </c>
      <c r="S82" s="1" t="s">
        <v>101</v>
      </c>
      <c r="T82" s="1" t="s">
        <v>101</v>
      </c>
      <c r="U82" s="1" t="s">
        <v>101</v>
      </c>
      <c r="V82" s="1" t="s">
        <v>101</v>
      </c>
      <c r="W82" s="2">
        <v>56123</v>
      </c>
      <c r="X82" s="47">
        <v>150</v>
      </c>
      <c r="Y82" s="15" t="s">
        <v>425</v>
      </c>
      <c r="Z82" s="15"/>
      <c r="AA82" s="2" t="s">
        <v>186</v>
      </c>
      <c r="AB82" s="2" t="s">
        <v>426</v>
      </c>
      <c r="AC82" s="2" t="s">
        <v>846</v>
      </c>
      <c r="AD82" s="2" t="s">
        <v>420</v>
      </c>
      <c r="AE82" s="47" t="s">
        <v>917</v>
      </c>
      <c r="AF82" s="2" t="s">
        <v>418</v>
      </c>
      <c r="AG82" s="47" t="s">
        <v>966</v>
      </c>
      <c r="AH82" s="2" t="s">
        <v>101</v>
      </c>
      <c r="AI82" s="47"/>
      <c r="AK82" s="2" t="s">
        <v>101</v>
      </c>
      <c r="AL82" s="2" t="s">
        <v>101</v>
      </c>
      <c r="AM82" s="2" t="s">
        <v>101</v>
      </c>
      <c r="AN82" s="2" t="s">
        <v>101</v>
      </c>
      <c r="AO82" s="1">
        <v>34.82</v>
      </c>
      <c r="AP82" s="1" t="s">
        <v>101</v>
      </c>
      <c r="AQ82" s="1" t="s">
        <v>101</v>
      </c>
      <c r="AR82" s="1">
        <v>7.77</v>
      </c>
      <c r="AS82" s="1" t="s">
        <v>101</v>
      </c>
      <c r="AT82" s="2">
        <f t="shared" si="10"/>
        <v>77.685238368753602</v>
      </c>
      <c r="AU82" s="47">
        <v>77.685238368753602</v>
      </c>
      <c r="AV82" s="1" t="s">
        <v>101</v>
      </c>
      <c r="AW82" s="2" t="s">
        <v>427</v>
      </c>
    </row>
    <row r="83" spans="1:50" ht="27.75" customHeight="1" x14ac:dyDescent="0.35">
      <c r="A83" s="1">
        <v>27</v>
      </c>
      <c r="B83" s="2" t="s">
        <v>413</v>
      </c>
      <c r="C83" s="2" t="s">
        <v>414</v>
      </c>
      <c r="D83" s="2" t="s">
        <v>200</v>
      </c>
      <c r="E83" s="28" t="s">
        <v>867</v>
      </c>
      <c r="F83" s="2" t="s">
        <v>101</v>
      </c>
      <c r="G83" s="2" t="s">
        <v>415</v>
      </c>
      <c r="J83" s="2" t="s">
        <v>881</v>
      </c>
      <c r="K83" s="1">
        <v>2009</v>
      </c>
      <c r="L83" s="1">
        <v>2009</v>
      </c>
      <c r="M83" s="2" t="s">
        <v>417</v>
      </c>
      <c r="N83" s="47" t="s">
        <v>884</v>
      </c>
      <c r="O83" s="2" t="s">
        <v>423</v>
      </c>
      <c r="P83" s="47" t="s">
        <v>889</v>
      </c>
      <c r="Q83" s="26" t="s">
        <v>93</v>
      </c>
      <c r="R83" s="26">
        <v>1.6</v>
      </c>
      <c r="S83" s="1" t="s">
        <v>101</v>
      </c>
      <c r="T83" s="1" t="s">
        <v>101</v>
      </c>
      <c r="U83" s="1" t="s">
        <v>101</v>
      </c>
      <c r="V83" s="1" t="s">
        <v>101</v>
      </c>
      <c r="W83" s="2">
        <v>56123</v>
      </c>
      <c r="X83" s="47">
        <v>150</v>
      </c>
      <c r="Y83" s="15" t="s">
        <v>425</v>
      </c>
      <c r="Z83" s="15"/>
      <c r="AA83" s="2" t="s">
        <v>186</v>
      </c>
      <c r="AB83" s="2" t="s">
        <v>426</v>
      </c>
      <c r="AC83" s="2" t="s">
        <v>846</v>
      </c>
      <c r="AD83" s="2" t="s">
        <v>421</v>
      </c>
      <c r="AE83" s="47" t="s">
        <v>917</v>
      </c>
      <c r="AF83" s="2" t="s">
        <v>418</v>
      </c>
      <c r="AG83" s="47" t="s">
        <v>966</v>
      </c>
      <c r="AH83" s="2" t="s">
        <v>101</v>
      </c>
      <c r="AI83" s="47"/>
      <c r="AK83" s="2" t="s">
        <v>101</v>
      </c>
      <c r="AL83" s="2" t="s">
        <v>101</v>
      </c>
      <c r="AM83" s="2" t="s">
        <v>101</v>
      </c>
      <c r="AN83" s="2" t="s">
        <v>101</v>
      </c>
      <c r="AO83" s="1">
        <v>34.82</v>
      </c>
      <c r="AP83" s="1" t="s">
        <v>101</v>
      </c>
      <c r="AQ83" s="1" t="s">
        <v>101</v>
      </c>
      <c r="AR83" s="1">
        <v>39.78</v>
      </c>
      <c r="AS83" s="1" t="s">
        <v>101</v>
      </c>
      <c r="AT83" s="2">
        <f t="shared" si="10"/>
        <v>-14.244686961516372</v>
      </c>
      <c r="AU83" s="47">
        <v>-14.244686961516372</v>
      </c>
      <c r="AV83" s="1" t="s">
        <v>101</v>
      </c>
      <c r="AW83" s="2" t="s">
        <v>427</v>
      </c>
    </row>
    <row r="84" spans="1:50" s="8" customFormat="1" ht="27.75" customHeight="1" thickBot="1" x14ac:dyDescent="0.4">
      <c r="A84" s="8">
        <v>27</v>
      </c>
      <c r="B84" s="11" t="s">
        <v>413</v>
      </c>
      <c r="C84" s="11" t="s">
        <v>414</v>
      </c>
      <c r="D84" s="11" t="s">
        <v>200</v>
      </c>
      <c r="E84" s="29" t="s">
        <v>867</v>
      </c>
      <c r="F84" s="11" t="s">
        <v>101</v>
      </c>
      <c r="G84" s="11" t="s">
        <v>415</v>
      </c>
      <c r="H84" s="11"/>
      <c r="I84" s="11"/>
      <c r="J84" s="2" t="s">
        <v>881</v>
      </c>
      <c r="K84" s="8">
        <v>2009</v>
      </c>
      <c r="L84" s="8">
        <v>2009</v>
      </c>
      <c r="M84" s="11" t="s">
        <v>417</v>
      </c>
      <c r="N84" s="47" t="s">
        <v>884</v>
      </c>
      <c r="O84" s="11" t="s">
        <v>423</v>
      </c>
      <c r="P84" s="47" t="s">
        <v>889</v>
      </c>
      <c r="Q84" s="27" t="s">
        <v>93</v>
      </c>
      <c r="R84" s="27">
        <v>1.6</v>
      </c>
      <c r="S84" s="8" t="s">
        <v>101</v>
      </c>
      <c r="T84" s="8" t="s">
        <v>101</v>
      </c>
      <c r="U84" s="8" t="s">
        <v>101</v>
      </c>
      <c r="V84" s="8" t="s">
        <v>101</v>
      </c>
      <c r="W84" s="11">
        <v>56123</v>
      </c>
      <c r="X84" s="49">
        <v>150</v>
      </c>
      <c r="Y84" s="17" t="s">
        <v>425</v>
      </c>
      <c r="Z84" s="17"/>
      <c r="AA84" s="11" t="s">
        <v>186</v>
      </c>
      <c r="AB84" s="11" t="s">
        <v>426</v>
      </c>
      <c r="AC84" s="2" t="s">
        <v>846</v>
      </c>
      <c r="AD84" s="11" t="s">
        <v>422</v>
      </c>
      <c r="AE84" s="47" t="s">
        <v>917</v>
      </c>
      <c r="AF84" s="11" t="s">
        <v>418</v>
      </c>
      <c r="AG84" s="47" t="s">
        <v>966</v>
      </c>
      <c r="AH84" s="11" t="s">
        <v>101</v>
      </c>
      <c r="AI84" s="49"/>
      <c r="AJ84" s="11"/>
      <c r="AK84" s="11" t="s">
        <v>101</v>
      </c>
      <c r="AL84" s="11" t="s">
        <v>101</v>
      </c>
      <c r="AM84" s="11" t="s">
        <v>101</v>
      </c>
      <c r="AN84" s="11" t="s">
        <v>101</v>
      </c>
      <c r="AO84" s="8">
        <v>34.82</v>
      </c>
      <c r="AP84" s="8" t="s">
        <v>101</v>
      </c>
      <c r="AQ84" s="8" t="s">
        <v>101</v>
      </c>
      <c r="AR84" s="8">
        <v>12.12</v>
      </c>
      <c r="AS84" s="8" t="s">
        <v>101</v>
      </c>
      <c r="AT84" s="11">
        <f t="shared" si="10"/>
        <v>65.192418150488223</v>
      </c>
      <c r="AU84" s="49">
        <v>65.192418150488223</v>
      </c>
      <c r="AV84" s="8" t="s">
        <v>101</v>
      </c>
      <c r="AW84" s="11" t="s">
        <v>427</v>
      </c>
    </row>
    <row r="85" spans="1:50" ht="27.75" customHeight="1" thickTop="1" x14ac:dyDescent="0.35">
      <c r="A85" s="1">
        <v>28</v>
      </c>
      <c r="B85" s="2" t="s">
        <v>428</v>
      </c>
      <c r="C85" s="2" t="s">
        <v>429</v>
      </c>
      <c r="D85" s="2" t="s">
        <v>430</v>
      </c>
      <c r="E85" s="28" t="s">
        <v>874</v>
      </c>
      <c r="F85" s="2" t="s">
        <v>431</v>
      </c>
      <c r="G85" s="2" t="s">
        <v>447</v>
      </c>
      <c r="H85" s="2">
        <v>590</v>
      </c>
      <c r="I85" s="2">
        <v>110</v>
      </c>
      <c r="J85" s="2" t="s">
        <v>881</v>
      </c>
      <c r="K85" s="1">
        <v>2019</v>
      </c>
      <c r="L85" s="1">
        <v>2019</v>
      </c>
      <c r="M85" s="2" t="s">
        <v>455</v>
      </c>
      <c r="N85" s="47" t="s">
        <v>886</v>
      </c>
      <c r="O85" s="2" t="s">
        <v>445</v>
      </c>
      <c r="P85" s="47" t="s">
        <v>534</v>
      </c>
      <c r="Q85" s="26" t="s">
        <v>93</v>
      </c>
      <c r="R85" s="26">
        <v>8</v>
      </c>
      <c r="S85" s="1" t="s">
        <v>101</v>
      </c>
      <c r="T85" s="1" t="s">
        <v>101</v>
      </c>
      <c r="U85" s="1" t="s">
        <v>101</v>
      </c>
      <c r="V85" s="1">
        <v>7.7</v>
      </c>
      <c r="X85" s="47">
        <v>170</v>
      </c>
      <c r="Y85" s="15" t="s">
        <v>458</v>
      </c>
      <c r="Z85" s="15"/>
      <c r="AA85" s="2" t="s">
        <v>462</v>
      </c>
      <c r="AB85" s="2" t="s">
        <v>446</v>
      </c>
      <c r="AC85" s="2" t="s">
        <v>898</v>
      </c>
      <c r="AD85" s="2" t="s">
        <v>440</v>
      </c>
      <c r="AE85" s="47" t="s">
        <v>1035</v>
      </c>
      <c r="AF85" s="2" t="s">
        <v>439</v>
      </c>
      <c r="AG85" s="47" t="s">
        <v>936</v>
      </c>
      <c r="AH85" s="2" t="s">
        <v>101</v>
      </c>
      <c r="AI85" s="47" t="s">
        <v>914</v>
      </c>
      <c r="AK85" s="1" t="s">
        <v>101</v>
      </c>
      <c r="AL85" s="1" t="s">
        <v>101</v>
      </c>
      <c r="AM85" s="1">
        <v>26.4</v>
      </c>
      <c r="AN85" s="1">
        <v>2.5</v>
      </c>
      <c r="AO85" s="1">
        <v>33</v>
      </c>
      <c r="AP85" s="1">
        <v>24.2</v>
      </c>
      <c r="AQ85" s="1">
        <v>1.5</v>
      </c>
      <c r="AR85" s="1">
        <f t="shared" ref="AR85:AR87" si="11">(125*AP85)/100</f>
        <v>30.25</v>
      </c>
      <c r="AS85" s="1" t="s">
        <v>101</v>
      </c>
      <c r="AT85" s="2">
        <v>8.0999999999999943</v>
      </c>
      <c r="AU85" s="47">
        <v>8.0999999999999943</v>
      </c>
      <c r="AV85" s="1" t="s">
        <v>101</v>
      </c>
      <c r="AW85" s="2" t="s">
        <v>467</v>
      </c>
      <c r="AX85" s="26">
        <f>((AO85-AR85)/AO85)*100</f>
        <v>8.3333333333333321</v>
      </c>
    </row>
    <row r="86" spans="1:50" ht="27.75" customHeight="1" x14ac:dyDescent="0.35">
      <c r="A86" s="1">
        <v>28</v>
      </c>
      <c r="B86" s="2" t="s">
        <v>428</v>
      </c>
      <c r="C86" s="2" t="s">
        <v>429</v>
      </c>
      <c r="D86" s="2" t="s">
        <v>430</v>
      </c>
      <c r="E86" s="28" t="s">
        <v>874</v>
      </c>
      <c r="F86" s="2" t="s">
        <v>431</v>
      </c>
      <c r="G86" s="2" t="s">
        <v>447</v>
      </c>
      <c r="H86" s="2">
        <v>590</v>
      </c>
      <c r="I86" s="2">
        <v>110</v>
      </c>
      <c r="J86" s="2" t="s">
        <v>881</v>
      </c>
      <c r="K86" s="1">
        <v>2019</v>
      </c>
      <c r="L86" s="1">
        <v>2019</v>
      </c>
      <c r="M86" s="2" t="s">
        <v>455</v>
      </c>
      <c r="N86" s="47" t="s">
        <v>886</v>
      </c>
      <c r="O86" s="2" t="s">
        <v>445</v>
      </c>
      <c r="P86" s="47" t="s">
        <v>534</v>
      </c>
      <c r="Q86" s="26" t="s">
        <v>93</v>
      </c>
      <c r="R86" s="26">
        <v>8</v>
      </c>
      <c r="S86" s="1" t="s">
        <v>101</v>
      </c>
      <c r="T86" s="1" t="s">
        <v>101</v>
      </c>
      <c r="U86" s="1" t="s">
        <v>101</v>
      </c>
      <c r="V86" s="1">
        <v>7.7</v>
      </c>
      <c r="X86" s="47">
        <v>170</v>
      </c>
      <c r="Y86" s="15" t="s">
        <v>458</v>
      </c>
      <c r="Z86" s="15"/>
      <c r="AA86" s="2" t="s">
        <v>462</v>
      </c>
      <c r="AB86" s="2" t="s">
        <v>446</v>
      </c>
      <c r="AC86" s="2" t="s">
        <v>898</v>
      </c>
      <c r="AD86" s="2" t="s">
        <v>441</v>
      </c>
      <c r="AE86" s="47" t="s">
        <v>940</v>
      </c>
      <c r="AF86" s="2" t="s">
        <v>439</v>
      </c>
      <c r="AG86" s="47" t="s">
        <v>936</v>
      </c>
      <c r="AH86" s="2" t="s">
        <v>443</v>
      </c>
      <c r="AI86" s="47" t="s">
        <v>904</v>
      </c>
      <c r="AK86" s="1">
        <v>6.05</v>
      </c>
      <c r="AL86" s="1">
        <v>8.8000000000000007</v>
      </c>
      <c r="AM86" s="1">
        <v>26.4</v>
      </c>
      <c r="AN86" s="1">
        <v>2.5</v>
      </c>
      <c r="AO86" s="1">
        <v>33</v>
      </c>
      <c r="AP86" s="1">
        <v>10.5</v>
      </c>
      <c r="AQ86" s="1">
        <v>2.1</v>
      </c>
      <c r="AR86" s="1">
        <f>(130*AP86)/100</f>
        <v>13.65</v>
      </c>
      <c r="AS86" s="1" t="s">
        <v>101</v>
      </c>
      <c r="AT86" s="2">
        <v>58.39</v>
      </c>
      <c r="AU86" s="47">
        <v>58.39</v>
      </c>
      <c r="AV86" s="1" t="s">
        <v>101</v>
      </c>
      <c r="AW86" s="2" t="s">
        <v>467</v>
      </c>
      <c r="AX86" s="26">
        <f t="shared" ref="AX86:AX108" si="12">((AO86-AR86)/AO86)*100</f>
        <v>58.63636363636364</v>
      </c>
    </row>
    <row r="87" spans="1:50" ht="27.75" customHeight="1" x14ac:dyDescent="0.35">
      <c r="A87" s="1">
        <v>28</v>
      </c>
      <c r="B87" s="2" t="s">
        <v>428</v>
      </c>
      <c r="C87" s="2" t="s">
        <v>429</v>
      </c>
      <c r="D87" s="2" t="s">
        <v>430</v>
      </c>
      <c r="E87" s="28" t="s">
        <v>874</v>
      </c>
      <c r="F87" s="2" t="s">
        <v>431</v>
      </c>
      <c r="G87" s="2" t="s">
        <v>447</v>
      </c>
      <c r="H87" s="2">
        <v>590</v>
      </c>
      <c r="I87" s="2">
        <v>110</v>
      </c>
      <c r="J87" s="2" t="s">
        <v>881</v>
      </c>
      <c r="K87" s="1">
        <v>2019</v>
      </c>
      <c r="L87" s="1">
        <v>2019</v>
      </c>
      <c r="M87" s="2" t="s">
        <v>455</v>
      </c>
      <c r="N87" s="47" t="s">
        <v>886</v>
      </c>
      <c r="O87" s="2" t="s">
        <v>445</v>
      </c>
      <c r="P87" s="47" t="s">
        <v>534</v>
      </c>
      <c r="Q87" s="26" t="s">
        <v>93</v>
      </c>
      <c r="R87" s="26">
        <v>8</v>
      </c>
      <c r="S87" s="1" t="s">
        <v>101</v>
      </c>
      <c r="T87" s="1" t="s">
        <v>101</v>
      </c>
      <c r="U87" s="1" t="s">
        <v>101</v>
      </c>
      <c r="V87" s="1">
        <v>7.7</v>
      </c>
      <c r="X87" s="47">
        <v>170</v>
      </c>
      <c r="Y87" s="15" t="s">
        <v>458</v>
      </c>
      <c r="Z87" s="15"/>
      <c r="AA87" s="2" t="s">
        <v>462</v>
      </c>
      <c r="AB87" s="2" t="s">
        <v>446</v>
      </c>
      <c r="AC87" s="2" t="s">
        <v>898</v>
      </c>
      <c r="AD87" s="2" t="s">
        <v>442</v>
      </c>
      <c r="AE87" s="47" t="s">
        <v>1035</v>
      </c>
      <c r="AF87" s="2" t="s">
        <v>439</v>
      </c>
      <c r="AG87" s="47" t="s">
        <v>936</v>
      </c>
      <c r="AH87" s="2" t="s">
        <v>444</v>
      </c>
      <c r="AI87" s="47" t="s">
        <v>937</v>
      </c>
      <c r="AK87" s="1" t="s">
        <v>101</v>
      </c>
      <c r="AL87" s="1" t="s">
        <v>101</v>
      </c>
      <c r="AM87" s="1">
        <v>26.4</v>
      </c>
      <c r="AN87" s="1">
        <v>2.5</v>
      </c>
      <c r="AO87" s="1">
        <v>33</v>
      </c>
      <c r="AP87" s="1">
        <v>23.4</v>
      </c>
      <c r="AQ87" s="1">
        <v>1.3</v>
      </c>
      <c r="AR87" s="1">
        <f t="shared" si="11"/>
        <v>29.25</v>
      </c>
      <c r="AS87" s="1" t="s">
        <v>101</v>
      </c>
      <c r="AT87" s="2">
        <v>11.799999999999997</v>
      </c>
      <c r="AU87" s="47">
        <v>11.799999999999997</v>
      </c>
      <c r="AV87" s="1" t="s">
        <v>101</v>
      </c>
      <c r="AW87" s="2" t="s">
        <v>467</v>
      </c>
      <c r="AX87" s="26">
        <f t="shared" si="12"/>
        <v>11.363636363636363</v>
      </c>
    </row>
    <row r="88" spans="1:50" ht="27.75" customHeight="1" x14ac:dyDescent="0.35">
      <c r="A88" s="1">
        <v>28</v>
      </c>
      <c r="B88" s="2" t="s">
        <v>428</v>
      </c>
      <c r="C88" s="2" t="s">
        <v>429</v>
      </c>
      <c r="D88" s="2" t="s">
        <v>430</v>
      </c>
      <c r="E88" s="28" t="s">
        <v>874</v>
      </c>
      <c r="F88" s="2" t="s">
        <v>432</v>
      </c>
      <c r="G88" s="2" t="s">
        <v>448</v>
      </c>
      <c r="H88" s="2">
        <v>560</v>
      </c>
      <c r="I88" s="2">
        <v>120</v>
      </c>
      <c r="J88" s="2" t="s">
        <v>881</v>
      </c>
      <c r="K88" s="1">
        <v>2020</v>
      </c>
      <c r="L88" s="1">
        <v>2020</v>
      </c>
      <c r="M88" s="2" t="s">
        <v>455</v>
      </c>
      <c r="N88" s="47" t="s">
        <v>886</v>
      </c>
      <c r="O88" s="2" t="s">
        <v>445</v>
      </c>
      <c r="P88" s="47" t="s">
        <v>534</v>
      </c>
      <c r="Q88" s="26" t="s">
        <v>93</v>
      </c>
      <c r="R88" s="26">
        <v>8.3000000000000007</v>
      </c>
      <c r="S88" s="1" t="s">
        <v>101</v>
      </c>
      <c r="T88" s="1" t="s">
        <v>101</v>
      </c>
      <c r="U88" s="1" t="s">
        <v>101</v>
      </c>
      <c r="V88" s="1">
        <v>7.55</v>
      </c>
      <c r="X88" s="47">
        <v>170</v>
      </c>
      <c r="Y88" s="15" t="s">
        <v>459</v>
      </c>
      <c r="Z88" s="15"/>
      <c r="AA88" s="2" t="s">
        <v>462</v>
      </c>
      <c r="AB88" s="2" t="s">
        <v>446</v>
      </c>
      <c r="AC88" s="2" t="s">
        <v>898</v>
      </c>
      <c r="AD88" s="2" t="s">
        <v>440</v>
      </c>
      <c r="AE88" s="47" t="s">
        <v>1035</v>
      </c>
      <c r="AF88" s="2" t="s">
        <v>439</v>
      </c>
      <c r="AG88" s="47" t="s">
        <v>936</v>
      </c>
      <c r="AH88" s="2" t="s">
        <v>101</v>
      </c>
      <c r="AI88" s="47" t="s">
        <v>914</v>
      </c>
      <c r="AK88" s="1" t="s">
        <v>101</v>
      </c>
      <c r="AL88" s="1" t="s">
        <v>101</v>
      </c>
      <c r="AM88" s="1">
        <v>25.9</v>
      </c>
      <c r="AN88" s="1">
        <v>3.6</v>
      </c>
      <c r="AO88" s="1">
        <f t="shared" ref="AO88:AO90" si="13">(124*AM88)/100</f>
        <v>32.116</v>
      </c>
      <c r="AP88" s="1">
        <v>16.399999999999999</v>
      </c>
      <c r="AQ88" s="1">
        <v>4.5</v>
      </c>
      <c r="AR88" s="1">
        <f t="shared" ref="AR88:AR90" si="14">(124*AP88)/100</f>
        <v>20.335999999999999</v>
      </c>
      <c r="AS88" s="1" t="s">
        <v>101</v>
      </c>
      <c r="AT88" s="2">
        <v>37.4</v>
      </c>
      <c r="AU88" s="47">
        <v>37.4</v>
      </c>
      <c r="AV88" s="1" t="s">
        <v>101</v>
      </c>
      <c r="AW88" s="2" t="s">
        <v>467</v>
      </c>
      <c r="AX88" s="26">
        <f t="shared" si="12"/>
        <v>36.679536679536682</v>
      </c>
    </row>
    <row r="89" spans="1:50" ht="27.75" customHeight="1" x14ac:dyDescent="0.35">
      <c r="A89" s="1">
        <v>28</v>
      </c>
      <c r="B89" s="2" t="s">
        <v>428</v>
      </c>
      <c r="C89" s="2" t="s">
        <v>429</v>
      </c>
      <c r="D89" s="2" t="s">
        <v>430</v>
      </c>
      <c r="E89" s="28" t="s">
        <v>874</v>
      </c>
      <c r="F89" s="2" t="s">
        <v>432</v>
      </c>
      <c r="G89" s="2" t="s">
        <v>448</v>
      </c>
      <c r="H89" s="2">
        <v>560</v>
      </c>
      <c r="I89" s="2">
        <v>120</v>
      </c>
      <c r="J89" s="2" t="s">
        <v>881</v>
      </c>
      <c r="K89" s="1">
        <v>2020</v>
      </c>
      <c r="L89" s="1">
        <v>2020</v>
      </c>
      <c r="M89" s="2" t="s">
        <v>455</v>
      </c>
      <c r="N89" s="47" t="s">
        <v>886</v>
      </c>
      <c r="O89" s="2" t="s">
        <v>445</v>
      </c>
      <c r="P89" s="47" t="s">
        <v>534</v>
      </c>
      <c r="Q89" s="26" t="s">
        <v>93</v>
      </c>
      <c r="R89" s="26">
        <v>8.3000000000000007</v>
      </c>
      <c r="S89" s="1" t="s">
        <v>101</v>
      </c>
      <c r="T89" s="1" t="s">
        <v>101</v>
      </c>
      <c r="U89" s="1" t="s">
        <v>101</v>
      </c>
      <c r="V89" s="1">
        <v>7.55</v>
      </c>
      <c r="X89" s="47">
        <v>170</v>
      </c>
      <c r="Y89" s="15" t="s">
        <v>459</v>
      </c>
      <c r="Z89" s="15"/>
      <c r="AA89" s="2" t="s">
        <v>462</v>
      </c>
      <c r="AB89" s="2" t="s">
        <v>446</v>
      </c>
      <c r="AC89" s="2" t="s">
        <v>898</v>
      </c>
      <c r="AD89" s="2" t="s">
        <v>441</v>
      </c>
      <c r="AE89" s="47" t="s">
        <v>940</v>
      </c>
      <c r="AF89" s="2" t="s">
        <v>439</v>
      </c>
      <c r="AG89" s="47" t="s">
        <v>936</v>
      </c>
      <c r="AH89" s="2" t="s">
        <v>443</v>
      </c>
      <c r="AI89" s="47" t="s">
        <v>904</v>
      </c>
      <c r="AK89" s="1">
        <v>5.8</v>
      </c>
      <c r="AL89" s="1">
        <v>8.65</v>
      </c>
      <c r="AM89" s="1">
        <v>25.9</v>
      </c>
      <c r="AN89" s="1">
        <v>3.6</v>
      </c>
      <c r="AO89" s="1">
        <f t="shared" si="13"/>
        <v>32.116</v>
      </c>
      <c r="AP89" s="1">
        <v>24.4</v>
      </c>
      <c r="AQ89" s="1">
        <v>4.2</v>
      </c>
      <c r="AR89" s="1">
        <f>(123*AP89)/100</f>
        <v>30.011999999999997</v>
      </c>
      <c r="AS89" s="1" t="s">
        <v>101</v>
      </c>
      <c r="AT89" s="2">
        <v>8</v>
      </c>
      <c r="AU89" s="47">
        <v>8</v>
      </c>
      <c r="AV89" s="1" t="s">
        <v>101</v>
      </c>
      <c r="AW89" s="2" t="s">
        <v>467</v>
      </c>
      <c r="AX89" s="26">
        <f t="shared" si="12"/>
        <v>6.5512517125420446</v>
      </c>
    </row>
    <row r="90" spans="1:50" ht="27.75" customHeight="1" x14ac:dyDescent="0.35">
      <c r="A90" s="1">
        <v>28</v>
      </c>
      <c r="B90" s="2" t="s">
        <v>428</v>
      </c>
      <c r="C90" s="2" t="s">
        <v>429</v>
      </c>
      <c r="D90" s="2" t="s">
        <v>430</v>
      </c>
      <c r="E90" s="28" t="s">
        <v>874</v>
      </c>
      <c r="F90" s="2" t="s">
        <v>432</v>
      </c>
      <c r="G90" s="2" t="s">
        <v>448</v>
      </c>
      <c r="H90" s="2">
        <v>560</v>
      </c>
      <c r="I90" s="2">
        <v>120</v>
      </c>
      <c r="J90" s="2" t="s">
        <v>881</v>
      </c>
      <c r="K90" s="1">
        <v>2020</v>
      </c>
      <c r="L90" s="1">
        <v>2020</v>
      </c>
      <c r="M90" s="2" t="s">
        <v>455</v>
      </c>
      <c r="N90" s="47" t="s">
        <v>886</v>
      </c>
      <c r="O90" s="2" t="s">
        <v>445</v>
      </c>
      <c r="P90" s="47" t="s">
        <v>534</v>
      </c>
      <c r="Q90" s="26" t="s">
        <v>93</v>
      </c>
      <c r="R90" s="26">
        <v>8.3000000000000007</v>
      </c>
      <c r="S90" s="1" t="s">
        <v>101</v>
      </c>
      <c r="T90" s="1" t="s">
        <v>101</v>
      </c>
      <c r="U90" s="1" t="s">
        <v>101</v>
      </c>
      <c r="V90" s="1">
        <v>7.55</v>
      </c>
      <c r="X90" s="47">
        <v>170</v>
      </c>
      <c r="Y90" s="15" t="s">
        <v>459</v>
      </c>
      <c r="Z90" s="15"/>
      <c r="AA90" s="2" t="s">
        <v>462</v>
      </c>
      <c r="AB90" s="2" t="s">
        <v>446</v>
      </c>
      <c r="AC90" s="2" t="s">
        <v>898</v>
      </c>
      <c r="AD90" s="2" t="s">
        <v>442</v>
      </c>
      <c r="AE90" s="47" t="s">
        <v>1035</v>
      </c>
      <c r="AF90" s="2" t="s">
        <v>439</v>
      </c>
      <c r="AG90" s="47" t="s">
        <v>936</v>
      </c>
      <c r="AH90" s="2" t="s">
        <v>444</v>
      </c>
      <c r="AI90" s="47" t="s">
        <v>937</v>
      </c>
      <c r="AK90" s="1" t="s">
        <v>101</v>
      </c>
      <c r="AL90" s="1" t="s">
        <v>101</v>
      </c>
      <c r="AM90" s="1">
        <v>25.9</v>
      </c>
      <c r="AN90" s="1">
        <v>3.6</v>
      </c>
      <c r="AO90" s="1">
        <f t="shared" si="13"/>
        <v>32.116</v>
      </c>
      <c r="AP90" s="1">
        <v>25.9</v>
      </c>
      <c r="AQ90" s="1">
        <v>6.2</v>
      </c>
      <c r="AR90" s="1">
        <f t="shared" si="14"/>
        <v>32.116</v>
      </c>
      <c r="AS90" s="1" t="s">
        <v>101</v>
      </c>
      <c r="AT90" s="2">
        <v>1</v>
      </c>
      <c r="AU90" s="47">
        <v>1</v>
      </c>
      <c r="AV90" s="1" t="s">
        <v>101</v>
      </c>
      <c r="AW90" s="2" t="s">
        <v>467</v>
      </c>
      <c r="AX90" s="26">
        <v>1</v>
      </c>
    </row>
    <row r="91" spans="1:50" ht="27.75" customHeight="1" x14ac:dyDescent="0.35">
      <c r="A91" s="1">
        <v>28</v>
      </c>
      <c r="B91" s="2" t="s">
        <v>428</v>
      </c>
      <c r="C91" s="2" t="s">
        <v>429</v>
      </c>
      <c r="D91" s="2" t="s">
        <v>430</v>
      </c>
      <c r="E91" s="28" t="s">
        <v>874</v>
      </c>
      <c r="F91" s="2" t="s">
        <v>433</v>
      </c>
      <c r="G91" s="2" t="s">
        <v>449</v>
      </c>
      <c r="H91" s="2">
        <v>570</v>
      </c>
      <c r="I91" s="2">
        <v>100</v>
      </c>
      <c r="J91" s="2" t="s">
        <v>881</v>
      </c>
      <c r="K91" s="1">
        <v>2019</v>
      </c>
      <c r="L91" s="1">
        <v>2019</v>
      </c>
      <c r="M91" s="2" t="s">
        <v>455</v>
      </c>
      <c r="N91" s="47" t="s">
        <v>886</v>
      </c>
      <c r="O91" s="2" t="s">
        <v>445</v>
      </c>
      <c r="P91" s="47" t="s">
        <v>534</v>
      </c>
      <c r="Q91" s="26" t="s">
        <v>93</v>
      </c>
      <c r="R91" s="26">
        <v>7.7</v>
      </c>
      <c r="S91" s="1" t="s">
        <v>101</v>
      </c>
      <c r="T91" s="1" t="s">
        <v>101</v>
      </c>
      <c r="U91" s="1" t="s">
        <v>101</v>
      </c>
      <c r="V91" s="1">
        <v>7.95</v>
      </c>
      <c r="X91" s="47">
        <v>170</v>
      </c>
      <c r="Y91" s="15" t="s">
        <v>460</v>
      </c>
      <c r="Z91" s="15"/>
      <c r="AA91" s="2" t="s">
        <v>462</v>
      </c>
      <c r="AB91" s="2" t="s">
        <v>446</v>
      </c>
      <c r="AC91" s="2" t="s">
        <v>898</v>
      </c>
      <c r="AD91" s="2" t="s">
        <v>440</v>
      </c>
      <c r="AE91" s="47" t="s">
        <v>1035</v>
      </c>
      <c r="AF91" s="2" t="s">
        <v>439</v>
      </c>
      <c r="AG91" s="47" t="s">
        <v>936</v>
      </c>
      <c r="AH91" s="2" t="s">
        <v>101</v>
      </c>
      <c r="AI91" s="47" t="s">
        <v>914</v>
      </c>
      <c r="AK91" s="1" t="s">
        <v>101</v>
      </c>
      <c r="AL91" s="1" t="s">
        <v>101</v>
      </c>
      <c r="AM91" s="1">
        <v>33.299999999999997</v>
      </c>
      <c r="AN91" s="1">
        <v>6.1</v>
      </c>
      <c r="AO91" s="1">
        <f t="shared" ref="AO91:AO93" si="15">(127*AM91)/100</f>
        <v>42.290999999999997</v>
      </c>
      <c r="AP91" s="1">
        <v>21.9</v>
      </c>
      <c r="AQ91" s="1">
        <v>7.2</v>
      </c>
      <c r="AR91" s="1">
        <f t="shared" ref="AR91:AR93" si="16">(127*AP91)/100</f>
        <v>27.812999999999999</v>
      </c>
      <c r="AS91" s="1" t="s">
        <v>101</v>
      </c>
      <c r="AT91" s="2">
        <v>32.599999999999994</v>
      </c>
      <c r="AU91" s="47">
        <v>32.599999999999994</v>
      </c>
      <c r="AV91" s="1" t="s">
        <v>101</v>
      </c>
      <c r="AW91" s="2" t="s">
        <v>467</v>
      </c>
      <c r="AX91" s="26">
        <f t="shared" si="12"/>
        <v>34.234234234234236</v>
      </c>
    </row>
    <row r="92" spans="1:50" ht="27.75" customHeight="1" x14ac:dyDescent="0.35">
      <c r="A92" s="1">
        <v>28</v>
      </c>
      <c r="B92" s="2" t="s">
        <v>428</v>
      </c>
      <c r="C92" s="2" t="s">
        <v>429</v>
      </c>
      <c r="D92" s="2" t="s">
        <v>430</v>
      </c>
      <c r="E92" s="28" t="s">
        <v>874</v>
      </c>
      <c r="F92" s="2" t="s">
        <v>433</v>
      </c>
      <c r="G92" s="2" t="s">
        <v>449</v>
      </c>
      <c r="H92" s="2">
        <v>570</v>
      </c>
      <c r="I92" s="2">
        <v>100</v>
      </c>
      <c r="J92" s="2" t="s">
        <v>881</v>
      </c>
      <c r="K92" s="1">
        <v>2019</v>
      </c>
      <c r="L92" s="1">
        <v>2019</v>
      </c>
      <c r="M92" s="2" t="s">
        <v>455</v>
      </c>
      <c r="N92" s="47" t="s">
        <v>886</v>
      </c>
      <c r="O92" s="2" t="s">
        <v>445</v>
      </c>
      <c r="P92" s="47" t="s">
        <v>534</v>
      </c>
      <c r="Q92" s="26" t="s">
        <v>93</v>
      </c>
      <c r="R92" s="26">
        <v>7.7</v>
      </c>
      <c r="S92" s="1" t="s">
        <v>101</v>
      </c>
      <c r="T92" s="1" t="s">
        <v>101</v>
      </c>
      <c r="U92" s="1" t="s">
        <v>101</v>
      </c>
      <c r="V92" s="1">
        <v>7.95</v>
      </c>
      <c r="X92" s="47">
        <v>170</v>
      </c>
      <c r="Y92" s="15" t="s">
        <v>460</v>
      </c>
      <c r="Z92" s="15"/>
      <c r="AA92" s="2" t="s">
        <v>462</v>
      </c>
      <c r="AB92" s="2" t="s">
        <v>446</v>
      </c>
      <c r="AC92" s="2" t="s">
        <v>898</v>
      </c>
      <c r="AD92" s="2" t="s">
        <v>441</v>
      </c>
      <c r="AE92" s="47" t="s">
        <v>940</v>
      </c>
      <c r="AF92" s="2" t="s">
        <v>439</v>
      </c>
      <c r="AG92" s="47" t="s">
        <v>936</v>
      </c>
      <c r="AH92" s="2" t="s">
        <v>443</v>
      </c>
      <c r="AI92" s="47" t="s">
        <v>904</v>
      </c>
      <c r="AK92" s="1">
        <v>6.1</v>
      </c>
      <c r="AL92" s="1">
        <v>7.8</v>
      </c>
      <c r="AM92" s="1">
        <v>33.299999999999997</v>
      </c>
      <c r="AN92" s="1">
        <v>6.1</v>
      </c>
      <c r="AO92" s="1">
        <f t="shared" si="15"/>
        <v>42.290999999999997</v>
      </c>
      <c r="AP92" s="1">
        <v>12.5</v>
      </c>
      <c r="AQ92" s="1">
        <v>4.2</v>
      </c>
      <c r="AR92" s="1">
        <f>(128*AP92)/100</f>
        <v>16</v>
      </c>
      <c r="AS92" s="1" t="s">
        <v>101</v>
      </c>
      <c r="AT92" s="2">
        <v>59.8</v>
      </c>
      <c r="AU92" s="47">
        <v>59.8</v>
      </c>
      <c r="AV92" s="1" t="s">
        <v>101</v>
      </c>
      <c r="AW92" s="2" t="s">
        <v>467</v>
      </c>
      <c r="AX92" s="26">
        <f t="shared" si="12"/>
        <v>62.166891300749562</v>
      </c>
    </row>
    <row r="93" spans="1:50" ht="27.75" customHeight="1" x14ac:dyDescent="0.35">
      <c r="A93" s="1">
        <v>28</v>
      </c>
      <c r="B93" s="2" t="s">
        <v>428</v>
      </c>
      <c r="C93" s="2" t="s">
        <v>429</v>
      </c>
      <c r="D93" s="2" t="s">
        <v>430</v>
      </c>
      <c r="E93" s="28" t="s">
        <v>874</v>
      </c>
      <c r="F93" s="2" t="s">
        <v>433</v>
      </c>
      <c r="G93" s="2" t="s">
        <v>449</v>
      </c>
      <c r="H93" s="2">
        <v>570</v>
      </c>
      <c r="I93" s="2">
        <v>100</v>
      </c>
      <c r="J93" s="2" t="s">
        <v>881</v>
      </c>
      <c r="K93" s="1">
        <v>2019</v>
      </c>
      <c r="L93" s="1">
        <v>2019</v>
      </c>
      <c r="M93" s="2" t="s">
        <v>455</v>
      </c>
      <c r="N93" s="47" t="s">
        <v>886</v>
      </c>
      <c r="O93" s="2" t="s">
        <v>445</v>
      </c>
      <c r="P93" s="47" t="s">
        <v>534</v>
      </c>
      <c r="Q93" s="26" t="s">
        <v>93</v>
      </c>
      <c r="R93" s="26">
        <v>7.7</v>
      </c>
      <c r="S93" s="1" t="s">
        <v>101</v>
      </c>
      <c r="T93" s="1" t="s">
        <v>101</v>
      </c>
      <c r="U93" s="1" t="s">
        <v>101</v>
      </c>
      <c r="V93" s="1">
        <v>7.95</v>
      </c>
      <c r="X93" s="47">
        <v>170</v>
      </c>
      <c r="Y93" s="15" t="s">
        <v>460</v>
      </c>
      <c r="Z93" s="15"/>
      <c r="AA93" s="2" t="s">
        <v>462</v>
      </c>
      <c r="AB93" s="2" t="s">
        <v>446</v>
      </c>
      <c r="AC93" s="2" t="s">
        <v>898</v>
      </c>
      <c r="AD93" s="2" t="s">
        <v>442</v>
      </c>
      <c r="AE93" s="47" t="s">
        <v>1035</v>
      </c>
      <c r="AF93" s="2" t="s">
        <v>439</v>
      </c>
      <c r="AG93" s="47" t="s">
        <v>936</v>
      </c>
      <c r="AH93" s="2" t="s">
        <v>444</v>
      </c>
      <c r="AI93" s="47" t="s">
        <v>937</v>
      </c>
      <c r="AK93" s="1" t="s">
        <v>101</v>
      </c>
      <c r="AL93" s="1" t="s">
        <v>101</v>
      </c>
      <c r="AM93" s="1">
        <v>33.299999999999997</v>
      </c>
      <c r="AN93" s="1">
        <v>6.1</v>
      </c>
      <c r="AO93" s="1">
        <f t="shared" si="15"/>
        <v>42.290999999999997</v>
      </c>
      <c r="AP93" s="1">
        <v>30</v>
      </c>
      <c r="AQ93" s="1">
        <v>4.5999999999999996</v>
      </c>
      <c r="AR93" s="1">
        <f t="shared" si="16"/>
        <v>38.1</v>
      </c>
      <c r="AS93" s="1" t="s">
        <v>101</v>
      </c>
      <c r="AT93" s="2">
        <v>8.9000000000000057</v>
      </c>
      <c r="AU93" s="47">
        <v>8.9000000000000057</v>
      </c>
      <c r="AV93" s="1" t="s">
        <v>101</v>
      </c>
      <c r="AW93" s="2" t="s">
        <v>467</v>
      </c>
      <c r="AX93" s="26">
        <f t="shared" si="12"/>
        <v>9.9099099099099011</v>
      </c>
    </row>
    <row r="94" spans="1:50" ht="27.75" customHeight="1" x14ac:dyDescent="0.35">
      <c r="A94" s="1">
        <v>28</v>
      </c>
      <c r="B94" s="2" t="s">
        <v>428</v>
      </c>
      <c r="C94" s="2" t="s">
        <v>429</v>
      </c>
      <c r="D94" s="2" t="s">
        <v>430</v>
      </c>
      <c r="E94" s="28" t="s">
        <v>874</v>
      </c>
      <c r="F94" s="2" t="s">
        <v>434</v>
      </c>
      <c r="G94" s="2" t="s">
        <v>450</v>
      </c>
      <c r="H94" s="2">
        <v>670</v>
      </c>
      <c r="I94" s="2">
        <v>80</v>
      </c>
      <c r="J94" s="2" t="s">
        <v>880</v>
      </c>
      <c r="K94" s="1">
        <v>2020</v>
      </c>
      <c r="L94" s="1">
        <v>2020</v>
      </c>
      <c r="M94" s="2" t="s">
        <v>455</v>
      </c>
      <c r="N94" s="47" t="s">
        <v>886</v>
      </c>
      <c r="O94" s="2" t="s">
        <v>445</v>
      </c>
      <c r="P94" s="47" t="s">
        <v>534</v>
      </c>
      <c r="Q94" s="26" t="s">
        <v>93</v>
      </c>
      <c r="R94" s="26">
        <v>8.0500000000000007</v>
      </c>
      <c r="S94" s="1" t="s">
        <v>101</v>
      </c>
      <c r="T94" s="1" t="s">
        <v>101</v>
      </c>
      <c r="U94" s="1" t="s">
        <v>101</v>
      </c>
      <c r="V94" s="1">
        <v>7.3</v>
      </c>
      <c r="X94" s="47">
        <v>170</v>
      </c>
      <c r="Y94" s="15" t="s">
        <v>461</v>
      </c>
      <c r="Z94" s="15"/>
      <c r="AA94" s="2" t="s">
        <v>462</v>
      </c>
      <c r="AB94" s="2" t="s">
        <v>446</v>
      </c>
      <c r="AC94" s="2" t="s">
        <v>898</v>
      </c>
      <c r="AD94" s="2" t="s">
        <v>440</v>
      </c>
      <c r="AE94" s="47" t="s">
        <v>1035</v>
      </c>
      <c r="AF94" s="2" t="s">
        <v>439</v>
      </c>
      <c r="AG94" s="47" t="s">
        <v>936</v>
      </c>
      <c r="AH94" s="2" t="s">
        <v>101</v>
      </c>
      <c r="AI94" s="47" t="s">
        <v>914</v>
      </c>
      <c r="AK94" s="1" t="s">
        <v>101</v>
      </c>
      <c r="AL94" s="1" t="s">
        <v>101</v>
      </c>
      <c r="AM94" s="1">
        <v>39.1</v>
      </c>
      <c r="AN94" s="1">
        <v>10.7</v>
      </c>
      <c r="AO94" s="1">
        <f t="shared" ref="AO94:AO96" si="17">(128*AM94)/100</f>
        <v>50.048000000000002</v>
      </c>
      <c r="AP94" s="1">
        <v>30</v>
      </c>
      <c r="AQ94" s="1">
        <v>9.4</v>
      </c>
      <c r="AR94" s="1">
        <f t="shared" ref="AR94:AR96" si="18">(128*AP94)/100</f>
        <v>38.4</v>
      </c>
      <c r="AS94" s="1" t="s">
        <v>101</v>
      </c>
      <c r="AT94" s="2">
        <v>23.799999999999997</v>
      </c>
      <c r="AU94" s="47">
        <v>23.799999999999997</v>
      </c>
      <c r="AV94" s="1" t="s">
        <v>101</v>
      </c>
      <c r="AW94" s="2" t="s">
        <v>467</v>
      </c>
      <c r="AX94" s="26">
        <f t="shared" si="12"/>
        <v>23.273657289002564</v>
      </c>
    </row>
    <row r="95" spans="1:50" ht="27.75" customHeight="1" x14ac:dyDescent="0.35">
      <c r="A95" s="1">
        <v>28</v>
      </c>
      <c r="B95" s="2" t="s">
        <v>428</v>
      </c>
      <c r="C95" s="2" t="s">
        <v>429</v>
      </c>
      <c r="D95" s="2" t="s">
        <v>430</v>
      </c>
      <c r="E95" s="28" t="s">
        <v>874</v>
      </c>
      <c r="F95" s="2" t="s">
        <v>434</v>
      </c>
      <c r="G95" s="2" t="s">
        <v>450</v>
      </c>
      <c r="H95" s="2">
        <v>670</v>
      </c>
      <c r="I95" s="2">
        <v>80</v>
      </c>
      <c r="J95" s="2" t="s">
        <v>880</v>
      </c>
      <c r="K95" s="1">
        <v>2020</v>
      </c>
      <c r="L95" s="1">
        <v>2020</v>
      </c>
      <c r="M95" s="2" t="s">
        <v>455</v>
      </c>
      <c r="N95" s="47" t="s">
        <v>886</v>
      </c>
      <c r="O95" s="2" t="s">
        <v>445</v>
      </c>
      <c r="P95" s="47" t="s">
        <v>534</v>
      </c>
      <c r="Q95" s="26" t="s">
        <v>93</v>
      </c>
      <c r="R95" s="26">
        <v>8.0500000000000007</v>
      </c>
      <c r="S95" s="1" t="s">
        <v>101</v>
      </c>
      <c r="T95" s="1" t="s">
        <v>101</v>
      </c>
      <c r="U95" s="1" t="s">
        <v>101</v>
      </c>
      <c r="V95" s="1">
        <v>7.3</v>
      </c>
      <c r="X95" s="47">
        <v>170</v>
      </c>
      <c r="Y95" s="15" t="s">
        <v>461</v>
      </c>
      <c r="Z95" s="15"/>
      <c r="AA95" s="2" t="s">
        <v>462</v>
      </c>
      <c r="AB95" s="2" t="s">
        <v>446</v>
      </c>
      <c r="AC95" s="2" t="s">
        <v>898</v>
      </c>
      <c r="AD95" s="2" t="s">
        <v>441</v>
      </c>
      <c r="AE95" s="47" t="s">
        <v>940</v>
      </c>
      <c r="AF95" s="2" t="s">
        <v>439</v>
      </c>
      <c r="AG95" s="47" t="s">
        <v>936</v>
      </c>
      <c r="AH95" s="2" t="s">
        <v>443</v>
      </c>
      <c r="AI95" s="47" t="s">
        <v>904</v>
      </c>
      <c r="AK95" s="1">
        <v>5.4</v>
      </c>
      <c r="AL95" s="1">
        <v>8.5</v>
      </c>
      <c r="AM95" s="1">
        <v>39.1</v>
      </c>
      <c r="AN95" s="1">
        <v>10.7</v>
      </c>
      <c r="AO95" s="1">
        <f t="shared" si="17"/>
        <v>50.048000000000002</v>
      </c>
      <c r="AP95" s="1">
        <v>11.2</v>
      </c>
      <c r="AQ95" s="1">
        <v>5.5</v>
      </c>
      <c r="AR95" s="1">
        <f>(126*AP95)/100</f>
        <v>14.111999999999998</v>
      </c>
      <c r="AS95" s="1" t="s">
        <v>101</v>
      </c>
      <c r="AT95" s="2">
        <v>71.5</v>
      </c>
      <c r="AU95" s="47">
        <v>71.5</v>
      </c>
      <c r="AV95" s="1" t="s">
        <v>101</v>
      </c>
      <c r="AW95" s="2" t="s">
        <v>467</v>
      </c>
      <c r="AX95" s="26">
        <f t="shared" si="12"/>
        <v>71.803069053708441</v>
      </c>
    </row>
    <row r="96" spans="1:50" ht="27.75" customHeight="1" x14ac:dyDescent="0.35">
      <c r="A96" s="1">
        <v>28</v>
      </c>
      <c r="B96" s="2" t="s">
        <v>428</v>
      </c>
      <c r="C96" s="2" t="s">
        <v>429</v>
      </c>
      <c r="D96" s="2" t="s">
        <v>430</v>
      </c>
      <c r="E96" s="28" t="s">
        <v>874</v>
      </c>
      <c r="F96" s="2" t="s">
        <v>434</v>
      </c>
      <c r="G96" s="2" t="s">
        <v>450</v>
      </c>
      <c r="H96" s="2">
        <v>670</v>
      </c>
      <c r="I96" s="2">
        <v>80</v>
      </c>
      <c r="J96" s="2" t="s">
        <v>880</v>
      </c>
      <c r="K96" s="1">
        <v>2020</v>
      </c>
      <c r="L96" s="1">
        <v>2020</v>
      </c>
      <c r="M96" s="2" t="s">
        <v>455</v>
      </c>
      <c r="N96" s="47" t="s">
        <v>886</v>
      </c>
      <c r="O96" s="2" t="s">
        <v>445</v>
      </c>
      <c r="P96" s="47" t="s">
        <v>534</v>
      </c>
      <c r="Q96" s="26" t="s">
        <v>93</v>
      </c>
      <c r="R96" s="26">
        <v>8.0500000000000007</v>
      </c>
      <c r="S96" s="1" t="s">
        <v>101</v>
      </c>
      <c r="T96" s="1" t="s">
        <v>101</v>
      </c>
      <c r="U96" s="1" t="s">
        <v>101</v>
      </c>
      <c r="V96" s="1">
        <v>7.3</v>
      </c>
      <c r="X96" s="47">
        <v>170</v>
      </c>
      <c r="Y96" s="15" t="s">
        <v>461</v>
      </c>
      <c r="Z96" s="15"/>
      <c r="AA96" s="2" t="s">
        <v>462</v>
      </c>
      <c r="AB96" s="2" t="s">
        <v>446</v>
      </c>
      <c r="AC96" s="2" t="s">
        <v>898</v>
      </c>
      <c r="AD96" s="2" t="s">
        <v>442</v>
      </c>
      <c r="AE96" s="47" t="s">
        <v>1035</v>
      </c>
      <c r="AF96" s="2" t="s">
        <v>439</v>
      </c>
      <c r="AG96" s="47" t="s">
        <v>936</v>
      </c>
      <c r="AH96" s="2" t="s">
        <v>444</v>
      </c>
      <c r="AI96" s="47" t="s">
        <v>937</v>
      </c>
      <c r="AK96" s="1" t="s">
        <v>101</v>
      </c>
      <c r="AL96" s="1" t="s">
        <v>101</v>
      </c>
      <c r="AM96" s="1">
        <v>39.1</v>
      </c>
      <c r="AN96" s="1">
        <v>10.7</v>
      </c>
      <c r="AO96" s="1">
        <f t="shared" si="17"/>
        <v>50.048000000000002</v>
      </c>
      <c r="AP96" s="1">
        <v>22.5</v>
      </c>
      <c r="AQ96" s="1">
        <v>10.1</v>
      </c>
      <c r="AR96" s="1">
        <f t="shared" si="18"/>
        <v>28.8</v>
      </c>
      <c r="AS96" s="1" t="s">
        <v>101</v>
      </c>
      <c r="AT96" s="2">
        <v>44</v>
      </c>
      <c r="AU96" s="47">
        <v>44</v>
      </c>
      <c r="AV96" s="1" t="s">
        <v>101</v>
      </c>
      <c r="AW96" s="2" t="s">
        <v>467</v>
      </c>
      <c r="AX96" s="26">
        <f t="shared" si="12"/>
        <v>42.455242966751925</v>
      </c>
    </row>
    <row r="97" spans="1:50" ht="27.75" customHeight="1" x14ac:dyDescent="0.35">
      <c r="A97" s="1">
        <v>28</v>
      </c>
      <c r="B97" s="2" t="s">
        <v>428</v>
      </c>
      <c r="C97" s="2" t="s">
        <v>429</v>
      </c>
      <c r="D97" s="2" t="s">
        <v>430</v>
      </c>
      <c r="E97" s="28" t="s">
        <v>874</v>
      </c>
      <c r="F97" s="2" t="s">
        <v>435</v>
      </c>
      <c r="G97" s="2" t="s">
        <v>451</v>
      </c>
      <c r="H97" s="2">
        <v>680</v>
      </c>
      <c r="I97" s="2">
        <v>120</v>
      </c>
      <c r="J97" s="2" t="s">
        <v>880</v>
      </c>
      <c r="K97" s="1">
        <v>2019</v>
      </c>
      <c r="L97" s="1">
        <v>2019</v>
      </c>
      <c r="M97" s="2" t="s">
        <v>455</v>
      </c>
      <c r="N97" s="47" t="s">
        <v>886</v>
      </c>
      <c r="O97" s="2" t="s">
        <v>445</v>
      </c>
      <c r="P97" s="47" t="s">
        <v>534</v>
      </c>
      <c r="Q97" s="26" t="s">
        <v>93</v>
      </c>
      <c r="R97" s="26">
        <v>9.85</v>
      </c>
      <c r="S97" s="1" t="s">
        <v>101</v>
      </c>
      <c r="T97" s="1" t="s">
        <v>101</v>
      </c>
      <c r="U97" s="1" t="s">
        <v>101</v>
      </c>
      <c r="V97" s="1">
        <v>6.9</v>
      </c>
      <c r="X97" s="47">
        <v>170</v>
      </c>
      <c r="Y97" s="15" t="s">
        <v>463</v>
      </c>
      <c r="Z97" s="15"/>
      <c r="AA97" s="2" t="s">
        <v>462</v>
      </c>
      <c r="AB97" s="2" t="s">
        <v>446</v>
      </c>
      <c r="AC97" s="2" t="s">
        <v>898</v>
      </c>
      <c r="AD97" s="2" t="s">
        <v>440</v>
      </c>
      <c r="AE97" s="47" t="s">
        <v>1035</v>
      </c>
      <c r="AF97" s="2" t="s">
        <v>439</v>
      </c>
      <c r="AG97" s="47" t="s">
        <v>936</v>
      </c>
      <c r="AH97" s="2" t="s">
        <v>101</v>
      </c>
      <c r="AI97" s="47" t="s">
        <v>914</v>
      </c>
      <c r="AK97" s="1" t="s">
        <v>101</v>
      </c>
      <c r="AL97" s="1" t="s">
        <v>101</v>
      </c>
      <c r="AM97" s="1">
        <v>7.1</v>
      </c>
      <c r="AN97" s="1">
        <v>0.9</v>
      </c>
      <c r="AO97" s="1">
        <f t="shared" ref="AO97:AO99" si="19">(110*AM97)/100</f>
        <v>7.81</v>
      </c>
      <c r="AP97" s="1">
        <v>5.0999999999999996</v>
      </c>
      <c r="AQ97" s="1">
        <v>0.6</v>
      </c>
      <c r="AR97" s="1">
        <f t="shared" ref="AR97:AR99" si="20">(110*AP97)/100</f>
        <v>5.61</v>
      </c>
      <c r="AS97" s="1" t="s">
        <v>101</v>
      </c>
      <c r="AT97" s="2">
        <v>27.5</v>
      </c>
      <c r="AU97" s="47">
        <v>27.5</v>
      </c>
      <c r="AV97" s="1" t="s">
        <v>101</v>
      </c>
      <c r="AW97" s="2" t="s">
        <v>467</v>
      </c>
      <c r="AX97" s="26">
        <f t="shared" si="12"/>
        <v>28.169014084507033</v>
      </c>
    </row>
    <row r="98" spans="1:50" ht="27.75" customHeight="1" x14ac:dyDescent="0.35">
      <c r="A98" s="1">
        <v>28</v>
      </c>
      <c r="B98" s="2" t="s">
        <v>428</v>
      </c>
      <c r="C98" s="2" t="s">
        <v>429</v>
      </c>
      <c r="D98" s="2" t="s">
        <v>430</v>
      </c>
      <c r="E98" s="28" t="s">
        <v>874</v>
      </c>
      <c r="F98" s="2" t="s">
        <v>435</v>
      </c>
      <c r="G98" s="2" t="s">
        <v>451</v>
      </c>
      <c r="H98" s="2">
        <v>680</v>
      </c>
      <c r="I98" s="2">
        <v>120</v>
      </c>
      <c r="J98" s="2" t="s">
        <v>880</v>
      </c>
      <c r="K98" s="1">
        <v>2019</v>
      </c>
      <c r="L98" s="1">
        <v>2019</v>
      </c>
      <c r="M98" s="2" t="s">
        <v>455</v>
      </c>
      <c r="N98" s="47" t="s">
        <v>886</v>
      </c>
      <c r="O98" s="2" t="s">
        <v>445</v>
      </c>
      <c r="P98" s="47" t="s">
        <v>534</v>
      </c>
      <c r="Q98" s="26" t="s">
        <v>93</v>
      </c>
      <c r="R98" s="26">
        <v>9.85</v>
      </c>
      <c r="S98" s="1" t="s">
        <v>101</v>
      </c>
      <c r="T98" s="1" t="s">
        <v>101</v>
      </c>
      <c r="U98" s="1" t="s">
        <v>101</v>
      </c>
      <c r="V98" s="1">
        <v>6.9</v>
      </c>
      <c r="X98" s="47">
        <v>170</v>
      </c>
      <c r="Y98" s="15" t="s">
        <v>463</v>
      </c>
      <c r="Z98" s="15"/>
      <c r="AA98" s="2" t="s">
        <v>462</v>
      </c>
      <c r="AB98" s="2" t="s">
        <v>446</v>
      </c>
      <c r="AC98" s="2" t="s">
        <v>898</v>
      </c>
      <c r="AD98" s="2" t="s">
        <v>441</v>
      </c>
      <c r="AE98" s="47" t="s">
        <v>940</v>
      </c>
      <c r="AF98" s="2" t="s">
        <v>439</v>
      </c>
      <c r="AG98" s="47" t="s">
        <v>936</v>
      </c>
      <c r="AH98" s="2" t="s">
        <v>443</v>
      </c>
      <c r="AI98" s="47" t="s">
        <v>904</v>
      </c>
      <c r="AK98" s="1">
        <v>6</v>
      </c>
      <c r="AL98" s="1">
        <v>9.8000000000000007</v>
      </c>
      <c r="AM98" s="1">
        <v>7.1</v>
      </c>
      <c r="AN98" s="1">
        <v>0.9</v>
      </c>
      <c r="AO98" s="1">
        <f t="shared" si="19"/>
        <v>7.81</v>
      </c>
      <c r="AP98" s="1">
        <v>2.4</v>
      </c>
      <c r="AQ98" s="1">
        <v>0.8</v>
      </c>
      <c r="AR98" s="1">
        <f>(114*AP98)/100</f>
        <v>2.7359999999999998</v>
      </c>
      <c r="AS98" s="1" t="s">
        <v>101</v>
      </c>
      <c r="AT98" s="2">
        <v>63.8</v>
      </c>
      <c r="AU98" s="47">
        <v>63.8</v>
      </c>
      <c r="AV98" s="1" t="s">
        <v>101</v>
      </c>
      <c r="AW98" s="2" t="s">
        <v>467</v>
      </c>
      <c r="AX98" s="26">
        <f t="shared" si="12"/>
        <v>64.967989756722162</v>
      </c>
    </row>
    <row r="99" spans="1:50" ht="27.75" customHeight="1" x14ac:dyDescent="0.35">
      <c r="A99" s="1">
        <v>28</v>
      </c>
      <c r="B99" s="2" t="s">
        <v>428</v>
      </c>
      <c r="C99" s="2" t="s">
        <v>429</v>
      </c>
      <c r="D99" s="2" t="s">
        <v>430</v>
      </c>
      <c r="E99" s="28" t="s">
        <v>874</v>
      </c>
      <c r="F99" s="2" t="s">
        <v>435</v>
      </c>
      <c r="G99" s="2" t="s">
        <v>451</v>
      </c>
      <c r="H99" s="2">
        <v>680</v>
      </c>
      <c r="I99" s="2">
        <v>120</v>
      </c>
      <c r="J99" s="2" t="s">
        <v>880</v>
      </c>
      <c r="K99" s="1">
        <v>2019</v>
      </c>
      <c r="L99" s="1">
        <v>2019</v>
      </c>
      <c r="M99" s="2" t="s">
        <v>455</v>
      </c>
      <c r="N99" s="47" t="s">
        <v>886</v>
      </c>
      <c r="O99" s="2" t="s">
        <v>445</v>
      </c>
      <c r="P99" s="47" t="s">
        <v>534</v>
      </c>
      <c r="Q99" s="26" t="s">
        <v>93</v>
      </c>
      <c r="R99" s="26">
        <v>9.85</v>
      </c>
      <c r="S99" s="1" t="s">
        <v>101</v>
      </c>
      <c r="T99" s="1" t="s">
        <v>101</v>
      </c>
      <c r="U99" s="1" t="s">
        <v>101</v>
      </c>
      <c r="V99" s="1">
        <v>6.9</v>
      </c>
      <c r="X99" s="47">
        <v>170</v>
      </c>
      <c r="Y99" s="15" t="s">
        <v>463</v>
      </c>
      <c r="Z99" s="15"/>
      <c r="AA99" s="2" t="s">
        <v>462</v>
      </c>
      <c r="AB99" s="2" t="s">
        <v>446</v>
      </c>
      <c r="AC99" s="2" t="s">
        <v>898</v>
      </c>
      <c r="AD99" s="2" t="s">
        <v>442</v>
      </c>
      <c r="AE99" s="47" t="s">
        <v>1035</v>
      </c>
      <c r="AF99" s="2" t="s">
        <v>439</v>
      </c>
      <c r="AG99" s="47" t="s">
        <v>936</v>
      </c>
      <c r="AH99" s="2" t="s">
        <v>444</v>
      </c>
      <c r="AI99" s="47" t="s">
        <v>937</v>
      </c>
      <c r="AK99" s="1" t="s">
        <v>101</v>
      </c>
      <c r="AL99" s="1" t="s">
        <v>101</v>
      </c>
      <c r="AM99" s="1">
        <v>7.1</v>
      </c>
      <c r="AN99" s="1">
        <v>0.9</v>
      </c>
      <c r="AO99" s="1">
        <f t="shared" si="19"/>
        <v>7.81</v>
      </c>
      <c r="AP99" s="1">
        <v>6.6</v>
      </c>
      <c r="AQ99" s="1">
        <v>0.3</v>
      </c>
      <c r="AR99" s="1">
        <f t="shared" si="20"/>
        <v>7.26</v>
      </c>
      <c r="AS99" s="1" t="s">
        <v>101</v>
      </c>
      <c r="AT99" s="2">
        <v>6</v>
      </c>
      <c r="AU99" s="47">
        <v>6</v>
      </c>
      <c r="AV99" s="1" t="s">
        <v>101</v>
      </c>
      <c r="AW99" s="2" t="s">
        <v>467</v>
      </c>
      <c r="AX99" s="26">
        <f t="shared" si="12"/>
        <v>7.0422535211267583</v>
      </c>
    </row>
    <row r="100" spans="1:50" ht="27.75" customHeight="1" x14ac:dyDescent="0.35">
      <c r="A100" s="1">
        <v>28</v>
      </c>
      <c r="B100" s="2" t="s">
        <v>428</v>
      </c>
      <c r="C100" s="2" t="s">
        <v>429</v>
      </c>
      <c r="D100" s="2" t="s">
        <v>430</v>
      </c>
      <c r="E100" s="28" t="s">
        <v>874</v>
      </c>
      <c r="F100" s="2" t="s">
        <v>436</v>
      </c>
      <c r="G100" s="2" t="s">
        <v>452</v>
      </c>
      <c r="H100" s="2">
        <v>510</v>
      </c>
      <c r="I100" s="2">
        <v>70</v>
      </c>
      <c r="J100" s="2" t="s">
        <v>881</v>
      </c>
      <c r="K100" s="1">
        <v>2020</v>
      </c>
      <c r="L100" s="1">
        <v>2020</v>
      </c>
      <c r="M100" s="2" t="s">
        <v>455</v>
      </c>
      <c r="N100" s="47" t="s">
        <v>886</v>
      </c>
      <c r="O100" s="2" t="s">
        <v>445</v>
      </c>
      <c r="P100" s="47" t="s">
        <v>534</v>
      </c>
      <c r="Q100" s="26" t="s">
        <v>93</v>
      </c>
      <c r="R100" s="26">
        <v>8.5500000000000007</v>
      </c>
      <c r="S100" s="1" t="s">
        <v>101</v>
      </c>
      <c r="T100" s="1" t="s">
        <v>101</v>
      </c>
      <c r="U100" s="1" t="s">
        <v>101</v>
      </c>
      <c r="V100" s="1">
        <v>6.95</v>
      </c>
      <c r="X100" s="47">
        <v>170</v>
      </c>
      <c r="Y100" s="15" t="s">
        <v>464</v>
      </c>
      <c r="Z100" s="15"/>
      <c r="AA100" s="2" t="s">
        <v>462</v>
      </c>
      <c r="AB100" s="2" t="s">
        <v>446</v>
      </c>
      <c r="AC100" s="2" t="s">
        <v>898</v>
      </c>
      <c r="AD100" s="2" t="s">
        <v>440</v>
      </c>
      <c r="AE100" s="47" t="s">
        <v>1035</v>
      </c>
      <c r="AF100" s="2" t="s">
        <v>439</v>
      </c>
      <c r="AG100" s="47" t="s">
        <v>936</v>
      </c>
      <c r="AH100" s="2" t="s">
        <v>101</v>
      </c>
      <c r="AI100" s="47" t="s">
        <v>914</v>
      </c>
      <c r="AK100" s="1" t="s">
        <v>101</v>
      </c>
      <c r="AL100" s="1" t="s">
        <v>101</v>
      </c>
      <c r="AM100" s="1">
        <v>6.1</v>
      </c>
      <c r="AN100" s="1">
        <v>1</v>
      </c>
      <c r="AO100" s="1">
        <f t="shared" ref="AO100:AO102" si="21">(180*AM100)/100</f>
        <v>10.98</v>
      </c>
      <c r="AP100" s="1">
        <v>3.7</v>
      </c>
      <c r="AQ100" s="1">
        <v>1.1000000000000001</v>
      </c>
      <c r="AR100" s="1">
        <f t="shared" ref="AR100:AR102" si="22">(180*AP100)/100</f>
        <v>6.66</v>
      </c>
      <c r="AS100" s="1" t="s">
        <v>101</v>
      </c>
      <c r="AT100" s="2">
        <v>37.799999999999997</v>
      </c>
      <c r="AU100" s="47">
        <v>37.799999999999997</v>
      </c>
      <c r="AV100" s="1" t="s">
        <v>101</v>
      </c>
      <c r="AW100" s="2" t="s">
        <v>467</v>
      </c>
      <c r="AX100" s="26">
        <f t="shared" si="12"/>
        <v>39.344262295081968</v>
      </c>
    </row>
    <row r="101" spans="1:50" ht="27.75" customHeight="1" x14ac:dyDescent="0.35">
      <c r="A101" s="1">
        <v>28</v>
      </c>
      <c r="B101" s="2" t="s">
        <v>428</v>
      </c>
      <c r="C101" s="2" t="s">
        <v>429</v>
      </c>
      <c r="D101" s="2" t="s">
        <v>430</v>
      </c>
      <c r="E101" s="28" t="s">
        <v>874</v>
      </c>
      <c r="F101" s="2" t="s">
        <v>436</v>
      </c>
      <c r="G101" s="2" t="s">
        <v>452</v>
      </c>
      <c r="H101" s="2">
        <v>510</v>
      </c>
      <c r="I101" s="2">
        <v>70</v>
      </c>
      <c r="J101" s="2" t="s">
        <v>881</v>
      </c>
      <c r="K101" s="1">
        <v>2020</v>
      </c>
      <c r="L101" s="1">
        <v>2020</v>
      </c>
      <c r="M101" s="2" t="s">
        <v>455</v>
      </c>
      <c r="N101" s="47" t="s">
        <v>886</v>
      </c>
      <c r="O101" s="2" t="s">
        <v>445</v>
      </c>
      <c r="P101" s="47" t="s">
        <v>534</v>
      </c>
      <c r="Q101" s="26" t="s">
        <v>93</v>
      </c>
      <c r="R101" s="26">
        <v>8.5500000000000007</v>
      </c>
      <c r="S101" s="1" t="s">
        <v>101</v>
      </c>
      <c r="T101" s="1" t="s">
        <v>101</v>
      </c>
      <c r="U101" s="1" t="s">
        <v>101</v>
      </c>
      <c r="V101" s="1">
        <v>6.95</v>
      </c>
      <c r="X101" s="47">
        <v>170</v>
      </c>
      <c r="Y101" s="15" t="s">
        <v>464</v>
      </c>
      <c r="Z101" s="15"/>
      <c r="AA101" s="2" t="s">
        <v>462</v>
      </c>
      <c r="AB101" s="2" t="s">
        <v>446</v>
      </c>
      <c r="AC101" s="2" t="s">
        <v>898</v>
      </c>
      <c r="AD101" s="2" t="s">
        <v>441</v>
      </c>
      <c r="AE101" s="47" t="s">
        <v>940</v>
      </c>
      <c r="AF101" s="2" t="s">
        <v>439</v>
      </c>
      <c r="AG101" s="47" t="s">
        <v>936</v>
      </c>
      <c r="AH101" s="2" t="s">
        <v>443</v>
      </c>
      <c r="AI101" s="47" t="s">
        <v>904</v>
      </c>
      <c r="AK101" s="1">
        <v>6.2</v>
      </c>
      <c r="AL101" s="1">
        <v>8.75</v>
      </c>
      <c r="AM101" s="1">
        <v>6.1</v>
      </c>
      <c r="AN101" s="1">
        <v>1</v>
      </c>
      <c r="AO101" s="1">
        <f t="shared" si="21"/>
        <v>10.98</v>
      </c>
      <c r="AP101" s="1">
        <v>2.4</v>
      </c>
      <c r="AQ101" s="1">
        <v>1.2</v>
      </c>
      <c r="AR101" s="1">
        <f>(183*AP101)/100</f>
        <v>4.3919999999999995</v>
      </c>
      <c r="AS101" s="1" t="s">
        <v>101</v>
      </c>
      <c r="AT101" s="2">
        <v>60</v>
      </c>
      <c r="AU101" s="47">
        <v>60</v>
      </c>
      <c r="AV101" s="1" t="s">
        <v>101</v>
      </c>
      <c r="AW101" s="2" t="s">
        <v>467</v>
      </c>
      <c r="AX101" s="26">
        <f t="shared" si="12"/>
        <v>60.000000000000007</v>
      </c>
    </row>
    <row r="102" spans="1:50" ht="27.75" customHeight="1" x14ac:dyDescent="0.35">
      <c r="A102" s="1">
        <v>28</v>
      </c>
      <c r="B102" s="2" t="s">
        <v>428</v>
      </c>
      <c r="C102" s="2" t="s">
        <v>429</v>
      </c>
      <c r="D102" s="2" t="s">
        <v>430</v>
      </c>
      <c r="E102" s="28" t="s">
        <v>874</v>
      </c>
      <c r="F102" s="2" t="s">
        <v>436</v>
      </c>
      <c r="G102" s="2" t="s">
        <v>452</v>
      </c>
      <c r="H102" s="2">
        <v>510</v>
      </c>
      <c r="I102" s="2">
        <v>70</v>
      </c>
      <c r="J102" s="2" t="s">
        <v>881</v>
      </c>
      <c r="K102" s="1">
        <v>2020</v>
      </c>
      <c r="L102" s="1">
        <v>2020</v>
      </c>
      <c r="M102" s="2" t="s">
        <v>455</v>
      </c>
      <c r="N102" s="47" t="s">
        <v>886</v>
      </c>
      <c r="O102" s="2" t="s">
        <v>445</v>
      </c>
      <c r="P102" s="47" t="s">
        <v>534</v>
      </c>
      <c r="Q102" s="26" t="s">
        <v>93</v>
      </c>
      <c r="R102" s="26">
        <v>8.5500000000000007</v>
      </c>
      <c r="S102" s="1" t="s">
        <v>101</v>
      </c>
      <c r="T102" s="1" t="s">
        <v>101</v>
      </c>
      <c r="U102" s="1" t="s">
        <v>101</v>
      </c>
      <c r="V102" s="1">
        <v>6.95</v>
      </c>
      <c r="X102" s="47">
        <v>170</v>
      </c>
      <c r="Y102" s="15" t="s">
        <v>464</v>
      </c>
      <c r="Z102" s="15"/>
      <c r="AA102" s="2" t="s">
        <v>462</v>
      </c>
      <c r="AB102" s="2" t="s">
        <v>446</v>
      </c>
      <c r="AC102" s="2" t="s">
        <v>898</v>
      </c>
      <c r="AD102" s="2" t="s">
        <v>442</v>
      </c>
      <c r="AE102" s="47" t="s">
        <v>1035</v>
      </c>
      <c r="AF102" s="2" t="s">
        <v>439</v>
      </c>
      <c r="AG102" s="47" t="s">
        <v>936</v>
      </c>
      <c r="AH102" s="2" t="s">
        <v>444</v>
      </c>
      <c r="AI102" s="47" t="s">
        <v>937</v>
      </c>
      <c r="AK102" s="1" t="s">
        <v>101</v>
      </c>
      <c r="AL102" s="1" t="s">
        <v>101</v>
      </c>
      <c r="AM102" s="1">
        <v>6.1</v>
      </c>
      <c r="AN102" s="1">
        <v>1</v>
      </c>
      <c r="AO102" s="1">
        <f t="shared" si="21"/>
        <v>10.98</v>
      </c>
      <c r="AP102" s="1">
        <v>2.4</v>
      </c>
      <c r="AQ102" s="1">
        <v>1</v>
      </c>
      <c r="AR102" s="1">
        <f t="shared" si="22"/>
        <v>4.32</v>
      </c>
      <c r="AS102" s="1" t="s">
        <v>101</v>
      </c>
      <c r="AT102" s="2">
        <v>62</v>
      </c>
      <c r="AU102" s="47">
        <v>62</v>
      </c>
      <c r="AV102" s="1" t="s">
        <v>101</v>
      </c>
      <c r="AW102" s="2" t="s">
        <v>467</v>
      </c>
      <c r="AX102" s="26">
        <f t="shared" si="12"/>
        <v>60.655737704918032</v>
      </c>
    </row>
    <row r="103" spans="1:50" ht="27.75" customHeight="1" x14ac:dyDescent="0.35">
      <c r="A103" s="1">
        <v>28</v>
      </c>
      <c r="B103" s="2" t="s">
        <v>428</v>
      </c>
      <c r="C103" s="2" t="s">
        <v>429</v>
      </c>
      <c r="D103" s="2" t="s">
        <v>430</v>
      </c>
      <c r="E103" s="28" t="s">
        <v>874</v>
      </c>
      <c r="F103" s="2" t="s">
        <v>437</v>
      </c>
      <c r="G103" s="2" t="s">
        <v>453</v>
      </c>
      <c r="H103" s="2">
        <v>120</v>
      </c>
      <c r="I103" s="2">
        <v>210</v>
      </c>
      <c r="J103" s="2" t="s">
        <v>882</v>
      </c>
      <c r="K103" s="1">
        <v>2019</v>
      </c>
      <c r="L103" s="1">
        <v>2019</v>
      </c>
      <c r="M103" s="2" t="s">
        <v>455</v>
      </c>
      <c r="N103" s="47" t="s">
        <v>886</v>
      </c>
      <c r="O103" s="2" t="s">
        <v>445</v>
      </c>
      <c r="P103" s="47" t="s">
        <v>534</v>
      </c>
      <c r="Q103" s="26" t="s">
        <v>93</v>
      </c>
      <c r="R103" s="26">
        <v>6.4</v>
      </c>
      <c r="S103" s="1" t="s">
        <v>101</v>
      </c>
      <c r="T103" s="1" t="s">
        <v>101</v>
      </c>
      <c r="U103" s="1" t="s">
        <v>101</v>
      </c>
      <c r="V103" s="1">
        <v>6.75</v>
      </c>
      <c r="X103" s="47">
        <v>170</v>
      </c>
      <c r="Y103" s="15" t="s">
        <v>465</v>
      </c>
      <c r="Z103" s="15"/>
      <c r="AA103" s="2" t="s">
        <v>462</v>
      </c>
      <c r="AB103" s="2" t="s">
        <v>446</v>
      </c>
      <c r="AC103" s="2" t="s">
        <v>898</v>
      </c>
      <c r="AD103" s="2" t="s">
        <v>440</v>
      </c>
      <c r="AE103" s="47" t="s">
        <v>1035</v>
      </c>
      <c r="AF103" s="2" t="s">
        <v>439</v>
      </c>
      <c r="AG103" s="47" t="s">
        <v>936</v>
      </c>
      <c r="AH103" s="2" t="s">
        <v>101</v>
      </c>
      <c r="AI103" s="47" t="s">
        <v>914</v>
      </c>
      <c r="AK103" s="1" t="s">
        <v>101</v>
      </c>
      <c r="AL103" s="1" t="s">
        <v>101</v>
      </c>
      <c r="AM103" s="1">
        <v>24.1</v>
      </c>
      <c r="AN103" s="1">
        <v>1.8</v>
      </c>
      <c r="AO103" s="1">
        <f t="shared" ref="AO103:AO105" si="23">(80*AM103)/100</f>
        <v>19.28</v>
      </c>
      <c r="AP103" s="1">
        <v>16.7</v>
      </c>
      <c r="AQ103" s="1">
        <v>1.4</v>
      </c>
      <c r="AR103" s="1">
        <f t="shared" ref="AR103:AR105" si="24">(80*AP103)/100</f>
        <v>13.36</v>
      </c>
      <c r="AS103" s="1" t="s">
        <v>101</v>
      </c>
      <c r="AT103" s="2">
        <v>29.900000000000006</v>
      </c>
      <c r="AU103" s="47">
        <v>29.900000000000006</v>
      </c>
      <c r="AV103" s="1" t="s">
        <v>101</v>
      </c>
      <c r="AW103" s="2" t="s">
        <v>467</v>
      </c>
      <c r="AX103" s="26">
        <f t="shared" si="12"/>
        <v>30.705394190871377</v>
      </c>
    </row>
    <row r="104" spans="1:50" ht="27.75" customHeight="1" x14ac:dyDescent="0.35">
      <c r="A104" s="1">
        <v>28</v>
      </c>
      <c r="B104" s="2" t="s">
        <v>428</v>
      </c>
      <c r="C104" s="2" t="s">
        <v>429</v>
      </c>
      <c r="D104" s="2" t="s">
        <v>430</v>
      </c>
      <c r="E104" s="28" t="s">
        <v>874</v>
      </c>
      <c r="F104" s="2" t="s">
        <v>437</v>
      </c>
      <c r="G104" s="2" t="s">
        <v>453</v>
      </c>
      <c r="H104" s="2">
        <v>120</v>
      </c>
      <c r="I104" s="2">
        <v>210</v>
      </c>
      <c r="J104" s="2" t="s">
        <v>882</v>
      </c>
      <c r="K104" s="1">
        <v>2019</v>
      </c>
      <c r="L104" s="1">
        <v>2019</v>
      </c>
      <c r="M104" s="2" t="s">
        <v>455</v>
      </c>
      <c r="N104" s="47" t="s">
        <v>886</v>
      </c>
      <c r="O104" s="2" t="s">
        <v>445</v>
      </c>
      <c r="P104" s="47" t="s">
        <v>534</v>
      </c>
      <c r="Q104" s="26" t="s">
        <v>93</v>
      </c>
      <c r="R104" s="26">
        <v>6.4</v>
      </c>
      <c r="S104" s="1" t="s">
        <v>101</v>
      </c>
      <c r="T104" s="1" t="s">
        <v>101</v>
      </c>
      <c r="U104" s="1" t="s">
        <v>101</v>
      </c>
      <c r="V104" s="1">
        <v>6.75</v>
      </c>
      <c r="X104" s="47">
        <v>170</v>
      </c>
      <c r="Y104" s="15" t="s">
        <v>465</v>
      </c>
      <c r="Z104" s="15"/>
      <c r="AA104" s="2" t="s">
        <v>462</v>
      </c>
      <c r="AB104" s="2" t="s">
        <v>446</v>
      </c>
      <c r="AC104" s="2" t="s">
        <v>898</v>
      </c>
      <c r="AD104" s="2" t="s">
        <v>441</v>
      </c>
      <c r="AE104" s="47" t="s">
        <v>940</v>
      </c>
      <c r="AF104" s="2" t="s">
        <v>439</v>
      </c>
      <c r="AG104" s="47" t="s">
        <v>936</v>
      </c>
      <c r="AH104" s="2" t="s">
        <v>443</v>
      </c>
      <c r="AI104" s="47" t="s">
        <v>904</v>
      </c>
      <c r="AK104" s="1">
        <v>5.8</v>
      </c>
      <c r="AL104" s="1">
        <v>5.95</v>
      </c>
      <c r="AM104" s="1">
        <v>24.1</v>
      </c>
      <c r="AN104" s="1">
        <v>1.8</v>
      </c>
      <c r="AO104" s="1">
        <f t="shared" si="23"/>
        <v>19.28</v>
      </c>
      <c r="AP104" s="1">
        <v>13.9</v>
      </c>
      <c r="AQ104" s="1">
        <v>1.3</v>
      </c>
      <c r="AR104" s="1">
        <f>(72*AP104)/100</f>
        <v>10.008000000000001</v>
      </c>
      <c r="AS104" s="1" t="s">
        <v>101</v>
      </c>
      <c r="AT104" s="2">
        <v>46.98</v>
      </c>
      <c r="AU104" s="47">
        <v>46.98</v>
      </c>
      <c r="AV104" s="1" t="s">
        <v>101</v>
      </c>
      <c r="AW104" s="2" t="s">
        <v>467</v>
      </c>
      <c r="AX104" s="26">
        <f t="shared" si="12"/>
        <v>48.091286307053934</v>
      </c>
    </row>
    <row r="105" spans="1:50" ht="27.75" customHeight="1" x14ac:dyDescent="0.35">
      <c r="A105" s="1">
        <v>28</v>
      </c>
      <c r="B105" s="2" t="s">
        <v>428</v>
      </c>
      <c r="C105" s="2" t="s">
        <v>429</v>
      </c>
      <c r="D105" s="2" t="s">
        <v>430</v>
      </c>
      <c r="E105" s="28" t="s">
        <v>874</v>
      </c>
      <c r="F105" s="2" t="s">
        <v>437</v>
      </c>
      <c r="G105" s="2" t="s">
        <v>453</v>
      </c>
      <c r="H105" s="2">
        <v>120</v>
      </c>
      <c r="I105" s="2">
        <v>210</v>
      </c>
      <c r="J105" s="2" t="s">
        <v>882</v>
      </c>
      <c r="K105" s="1">
        <v>2019</v>
      </c>
      <c r="L105" s="1">
        <v>2019</v>
      </c>
      <c r="M105" s="2" t="s">
        <v>455</v>
      </c>
      <c r="N105" s="47" t="s">
        <v>886</v>
      </c>
      <c r="O105" s="2" t="s">
        <v>445</v>
      </c>
      <c r="P105" s="47" t="s">
        <v>534</v>
      </c>
      <c r="Q105" s="26" t="s">
        <v>93</v>
      </c>
      <c r="R105" s="26">
        <v>6.4</v>
      </c>
      <c r="S105" s="1" t="s">
        <v>101</v>
      </c>
      <c r="T105" s="1" t="s">
        <v>101</v>
      </c>
      <c r="U105" s="1" t="s">
        <v>101</v>
      </c>
      <c r="V105" s="1">
        <v>6.75</v>
      </c>
      <c r="X105" s="47">
        <v>170</v>
      </c>
      <c r="Y105" s="15" t="s">
        <v>465</v>
      </c>
      <c r="Z105" s="15"/>
      <c r="AA105" s="2" t="s">
        <v>462</v>
      </c>
      <c r="AB105" s="2" t="s">
        <v>446</v>
      </c>
      <c r="AC105" s="2" t="s">
        <v>898</v>
      </c>
      <c r="AD105" s="2" t="s">
        <v>442</v>
      </c>
      <c r="AE105" s="47" t="s">
        <v>1035</v>
      </c>
      <c r="AF105" s="2" t="s">
        <v>439</v>
      </c>
      <c r="AG105" s="47" t="s">
        <v>936</v>
      </c>
      <c r="AH105" s="2" t="s">
        <v>444</v>
      </c>
      <c r="AI105" s="47" t="s">
        <v>937</v>
      </c>
      <c r="AK105" s="1" t="s">
        <v>101</v>
      </c>
      <c r="AL105" s="1" t="s">
        <v>101</v>
      </c>
      <c r="AM105" s="1">
        <v>24.1</v>
      </c>
      <c r="AN105" s="1">
        <v>1.8</v>
      </c>
      <c r="AO105" s="1">
        <f t="shared" si="23"/>
        <v>19.28</v>
      </c>
      <c r="AP105" s="1">
        <v>16.2</v>
      </c>
      <c r="AQ105" s="1">
        <v>1.1000000000000001</v>
      </c>
      <c r="AR105" s="1">
        <f t="shared" si="24"/>
        <v>12.96</v>
      </c>
      <c r="AS105" s="1" t="s">
        <v>101</v>
      </c>
      <c r="AT105" s="2">
        <v>31.700000000000003</v>
      </c>
      <c r="AU105" s="47">
        <v>31.700000000000003</v>
      </c>
      <c r="AV105" s="1" t="s">
        <v>101</v>
      </c>
      <c r="AW105" s="2" t="s">
        <v>467</v>
      </c>
      <c r="AX105" s="26">
        <f t="shared" si="12"/>
        <v>32.780082987551864</v>
      </c>
    </row>
    <row r="106" spans="1:50" ht="27.75" customHeight="1" x14ac:dyDescent="0.35">
      <c r="A106" s="1">
        <v>28</v>
      </c>
      <c r="B106" s="2" t="s">
        <v>428</v>
      </c>
      <c r="C106" s="2" t="s">
        <v>429</v>
      </c>
      <c r="D106" s="2" t="s">
        <v>430</v>
      </c>
      <c r="E106" s="28" t="s">
        <v>874</v>
      </c>
      <c r="F106" s="2" t="s">
        <v>438</v>
      </c>
      <c r="G106" s="2" t="s">
        <v>454</v>
      </c>
      <c r="H106" s="2">
        <v>160</v>
      </c>
      <c r="I106" s="2">
        <v>150</v>
      </c>
      <c r="J106" s="2" t="s">
        <v>882</v>
      </c>
      <c r="K106" s="1">
        <v>2020</v>
      </c>
      <c r="L106" s="1">
        <v>2020</v>
      </c>
      <c r="M106" s="2" t="s">
        <v>455</v>
      </c>
      <c r="N106" s="47" t="s">
        <v>886</v>
      </c>
      <c r="O106" s="2" t="s">
        <v>445</v>
      </c>
      <c r="P106" s="47" t="s">
        <v>534</v>
      </c>
      <c r="Q106" s="26" t="s">
        <v>93</v>
      </c>
      <c r="R106" s="26">
        <v>5.7</v>
      </c>
      <c r="S106" s="1" t="s">
        <v>101</v>
      </c>
      <c r="T106" s="1" t="s">
        <v>101</v>
      </c>
      <c r="U106" s="1" t="s">
        <v>101</v>
      </c>
      <c r="V106" s="1">
        <v>6.85</v>
      </c>
      <c r="X106" s="47">
        <v>170</v>
      </c>
      <c r="Y106" s="15" t="s">
        <v>466</v>
      </c>
      <c r="Z106" s="15"/>
      <c r="AA106" s="2" t="s">
        <v>462</v>
      </c>
      <c r="AB106" s="2" t="s">
        <v>446</v>
      </c>
      <c r="AC106" s="2" t="s">
        <v>898</v>
      </c>
      <c r="AD106" s="2" t="s">
        <v>440</v>
      </c>
      <c r="AE106" s="47" t="s">
        <v>1035</v>
      </c>
      <c r="AF106" s="2" t="s">
        <v>439</v>
      </c>
      <c r="AG106" s="47" t="s">
        <v>936</v>
      </c>
      <c r="AH106" s="2" t="s">
        <v>101</v>
      </c>
      <c r="AI106" s="47" t="s">
        <v>914</v>
      </c>
      <c r="AK106" s="1" t="s">
        <v>101</v>
      </c>
      <c r="AL106" s="1" t="s">
        <v>101</v>
      </c>
      <c r="AM106" s="1">
        <v>19</v>
      </c>
      <c r="AN106" s="1">
        <v>5.2</v>
      </c>
      <c r="AO106" s="1">
        <f t="shared" ref="AO106:AO108" si="25">(88*AM106)/100</f>
        <v>16.72</v>
      </c>
      <c r="AP106" s="1">
        <v>24.1</v>
      </c>
      <c r="AQ106" s="1">
        <v>3</v>
      </c>
      <c r="AR106" s="1">
        <f t="shared" ref="AR106:AR108" si="26">(88*AP106)/100</f>
        <v>21.208000000000002</v>
      </c>
      <c r="AS106" s="1" t="s">
        <v>101</v>
      </c>
      <c r="AT106" s="2">
        <v>-26.099999999999994</v>
      </c>
      <c r="AU106" s="47">
        <v>-26.099999999999994</v>
      </c>
      <c r="AV106" s="1" t="s">
        <v>101</v>
      </c>
      <c r="AW106" s="2" t="s">
        <v>467</v>
      </c>
      <c r="AX106" s="26">
        <f t="shared" si="12"/>
        <v>-26.842105263157919</v>
      </c>
    </row>
    <row r="107" spans="1:50" ht="27.75" customHeight="1" x14ac:dyDescent="0.35">
      <c r="A107" s="1">
        <v>28</v>
      </c>
      <c r="B107" s="2" t="s">
        <v>428</v>
      </c>
      <c r="C107" s="2" t="s">
        <v>429</v>
      </c>
      <c r="D107" s="2" t="s">
        <v>430</v>
      </c>
      <c r="E107" s="28" t="s">
        <v>874</v>
      </c>
      <c r="F107" s="2" t="s">
        <v>438</v>
      </c>
      <c r="G107" s="2" t="s">
        <v>454</v>
      </c>
      <c r="H107" s="2">
        <v>160</v>
      </c>
      <c r="I107" s="2">
        <v>150</v>
      </c>
      <c r="J107" s="2" t="s">
        <v>882</v>
      </c>
      <c r="K107" s="1">
        <v>2020</v>
      </c>
      <c r="L107" s="1">
        <v>2020</v>
      </c>
      <c r="M107" s="2" t="s">
        <v>455</v>
      </c>
      <c r="N107" s="47" t="s">
        <v>886</v>
      </c>
      <c r="O107" s="2" t="s">
        <v>445</v>
      </c>
      <c r="P107" s="47" t="s">
        <v>534</v>
      </c>
      <c r="Q107" s="26" t="s">
        <v>93</v>
      </c>
      <c r="R107" s="26">
        <v>5.7</v>
      </c>
      <c r="S107" s="1" t="s">
        <v>101</v>
      </c>
      <c r="T107" s="1" t="s">
        <v>101</v>
      </c>
      <c r="U107" s="1" t="s">
        <v>101</v>
      </c>
      <c r="V107" s="1">
        <v>6.85</v>
      </c>
      <c r="X107" s="47">
        <v>170</v>
      </c>
      <c r="Y107" s="15" t="s">
        <v>466</v>
      </c>
      <c r="Z107" s="15"/>
      <c r="AA107" s="2" t="s">
        <v>462</v>
      </c>
      <c r="AB107" s="2" t="s">
        <v>446</v>
      </c>
      <c r="AC107" s="2" t="s">
        <v>898</v>
      </c>
      <c r="AD107" s="2" t="s">
        <v>441</v>
      </c>
      <c r="AE107" s="47" t="s">
        <v>940</v>
      </c>
      <c r="AF107" s="2" t="s">
        <v>439</v>
      </c>
      <c r="AG107" s="47" t="s">
        <v>936</v>
      </c>
      <c r="AH107" s="2" t="s">
        <v>443</v>
      </c>
      <c r="AI107" s="47" t="s">
        <v>904</v>
      </c>
      <c r="AK107" s="1">
        <v>5.9</v>
      </c>
      <c r="AL107" s="1">
        <v>6.05</v>
      </c>
      <c r="AM107" s="1">
        <v>19</v>
      </c>
      <c r="AN107" s="1">
        <v>5.2</v>
      </c>
      <c r="AO107" s="1">
        <f t="shared" si="25"/>
        <v>16.72</v>
      </c>
      <c r="AP107" s="1">
        <v>20.6</v>
      </c>
      <c r="AQ107" s="1">
        <v>3.8</v>
      </c>
      <c r="AR107" s="1">
        <f>(87*AP107)/100</f>
        <v>17.922000000000001</v>
      </c>
      <c r="AS107" s="1" t="s">
        <v>101</v>
      </c>
      <c r="AT107" s="2">
        <v>-6.4000000000000057</v>
      </c>
      <c r="AU107" s="47">
        <v>-6.4000000000000057</v>
      </c>
      <c r="AV107" s="1" t="s">
        <v>101</v>
      </c>
      <c r="AW107" s="2" t="s">
        <v>467</v>
      </c>
      <c r="AX107" s="26">
        <f t="shared" si="12"/>
        <v>-7.1889952153110155</v>
      </c>
    </row>
    <row r="108" spans="1:50" s="8" customFormat="1" ht="27.75" customHeight="1" thickBot="1" x14ac:dyDescent="0.4">
      <c r="A108" s="8">
        <v>28</v>
      </c>
      <c r="B108" s="11" t="s">
        <v>428</v>
      </c>
      <c r="C108" s="11" t="s">
        <v>429</v>
      </c>
      <c r="D108" s="11" t="s">
        <v>430</v>
      </c>
      <c r="E108" s="29" t="s">
        <v>874</v>
      </c>
      <c r="F108" s="11" t="s">
        <v>438</v>
      </c>
      <c r="G108" s="11" t="s">
        <v>454</v>
      </c>
      <c r="H108" s="11">
        <v>160</v>
      </c>
      <c r="I108" s="2">
        <v>150</v>
      </c>
      <c r="J108" s="2" t="s">
        <v>882</v>
      </c>
      <c r="K108" s="8">
        <v>2020</v>
      </c>
      <c r="L108" s="8">
        <v>2020</v>
      </c>
      <c r="M108" s="11" t="s">
        <v>455</v>
      </c>
      <c r="N108" s="47" t="s">
        <v>886</v>
      </c>
      <c r="O108" s="11" t="s">
        <v>445</v>
      </c>
      <c r="P108" s="47" t="s">
        <v>534</v>
      </c>
      <c r="Q108" s="27" t="s">
        <v>93</v>
      </c>
      <c r="R108" s="27">
        <v>5.7</v>
      </c>
      <c r="S108" s="8" t="s">
        <v>101</v>
      </c>
      <c r="T108" s="8" t="s">
        <v>101</v>
      </c>
      <c r="U108" s="8" t="s">
        <v>101</v>
      </c>
      <c r="V108" s="8">
        <v>6.85</v>
      </c>
      <c r="W108" s="11"/>
      <c r="X108" s="49">
        <v>170</v>
      </c>
      <c r="Y108" s="17" t="s">
        <v>466</v>
      </c>
      <c r="Z108" s="17"/>
      <c r="AA108" s="11" t="s">
        <v>462</v>
      </c>
      <c r="AB108" s="11" t="s">
        <v>446</v>
      </c>
      <c r="AC108" s="2" t="s">
        <v>898</v>
      </c>
      <c r="AD108" s="11" t="s">
        <v>442</v>
      </c>
      <c r="AE108" s="47" t="s">
        <v>1035</v>
      </c>
      <c r="AF108" s="11" t="s">
        <v>439</v>
      </c>
      <c r="AG108" s="47" t="s">
        <v>936</v>
      </c>
      <c r="AH108" s="11" t="s">
        <v>444</v>
      </c>
      <c r="AI108" s="47" t="s">
        <v>937</v>
      </c>
      <c r="AJ108" s="11"/>
      <c r="AK108" s="8" t="s">
        <v>101</v>
      </c>
      <c r="AL108" s="8" t="s">
        <v>101</v>
      </c>
      <c r="AM108" s="8">
        <v>19</v>
      </c>
      <c r="AN108" s="8">
        <v>5.2</v>
      </c>
      <c r="AO108" s="8">
        <f t="shared" si="25"/>
        <v>16.72</v>
      </c>
      <c r="AP108" s="8">
        <v>27.9</v>
      </c>
      <c r="AQ108" s="8">
        <v>7.3</v>
      </c>
      <c r="AR108" s="8">
        <f t="shared" si="26"/>
        <v>24.552</v>
      </c>
      <c r="AS108" s="8" t="s">
        <v>101</v>
      </c>
      <c r="AT108" s="11">
        <v>-46.199999999999989</v>
      </c>
      <c r="AU108" s="49">
        <v>-46.199999999999989</v>
      </c>
      <c r="AV108" s="8" t="s">
        <v>101</v>
      </c>
      <c r="AW108" s="11" t="s">
        <v>467</v>
      </c>
      <c r="AX108" s="27">
        <f t="shared" si="12"/>
        <v>-46.842105263157904</v>
      </c>
    </row>
    <row r="109" spans="1:50" ht="27.75" customHeight="1" thickTop="1" x14ac:dyDescent="0.35">
      <c r="A109" s="1">
        <v>29</v>
      </c>
      <c r="B109" s="2" t="s">
        <v>468</v>
      </c>
      <c r="C109" s="2" t="s">
        <v>469</v>
      </c>
      <c r="D109" s="2" t="s">
        <v>245</v>
      </c>
      <c r="E109" s="28" t="s">
        <v>869</v>
      </c>
      <c r="F109" s="2" t="s">
        <v>470</v>
      </c>
      <c r="G109" s="2" t="s">
        <v>482</v>
      </c>
      <c r="H109" s="2">
        <v>600</v>
      </c>
      <c r="I109" s="2">
        <v>117</v>
      </c>
      <c r="J109" s="2" t="s">
        <v>881</v>
      </c>
      <c r="K109" s="5" t="s">
        <v>471</v>
      </c>
      <c r="L109" s="5" t="s">
        <v>480</v>
      </c>
      <c r="M109" s="2" t="s">
        <v>101</v>
      </c>
      <c r="N109" s="47" t="s">
        <v>914</v>
      </c>
      <c r="O109" s="2" t="s">
        <v>352</v>
      </c>
      <c r="P109" s="47" t="s">
        <v>534</v>
      </c>
      <c r="Q109" s="26" t="s">
        <v>93</v>
      </c>
      <c r="R109" s="26">
        <v>4.79</v>
      </c>
      <c r="S109" s="1" t="s">
        <v>101</v>
      </c>
      <c r="T109" s="1" t="s">
        <v>101</v>
      </c>
      <c r="U109" s="1" t="s">
        <v>101</v>
      </c>
      <c r="V109" s="1">
        <v>8.6199999999999992</v>
      </c>
      <c r="W109" s="2" t="s">
        <v>101</v>
      </c>
      <c r="X109" s="47">
        <v>130</v>
      </c>
      <c r="Y109" s="15" t="s">
        <v>480</v>
      </c>
      <c r="Z109" s="15"/>
      <c r="AA109" s="2" t="s">
        <v>481</v>
      </c>
      <c r="AB109" s="2" t="s">
        <v>479</v>
      </c>
      <c r="AC109" s="2" t="s">
        <v>846</v>
      </c>
      <c r="AD109" s="2" t="s">
        <v>477</v>
      </c>
      <c r="AE109" s="47" t="s">
        <v>936</v>
      </c>
      <c r="AF109" s="2" t="s">
        <v>477</v>
      </c>
      <c r="AG109" s="47" t="s">
        <v>936</v>
      </c>
      <c r="AH109" s="2" t="s">
        <v>472</v>
      </c>
      <c r="AI109" s="47" t="s">
        <v>943</v>
      </c>
      <c r="AK109" s="1">
        <v>8.6</v>
      </c>
      <c r="AL109" s="1">
        <v>2.68</v>
      </c>
      <c r="AM109" s="1">
        <v>38.5</v>
      </c>
      <c r="AN109" s="1" t="s">
        <v>101</v>
      </c>
      <c r="AO109" s="1">
        <v>18.100000000000001</v>
      </c>
      <c r="AP109" s="1">
        <v>16.399999999999999</v>
      </c>
      <c r="AQ109" s="1" t="s">
        <v>101</v>
      </c>
      <c r="AR109" s="1">
        <v>9.3000000000000007</v>
      </c>
      <c r="AS109" s="1" t="s">
        <v>101</v>
      </c>
      <c r="AT109" s="2">
        <f t="shared" ref="AT109:AT113" si="27">((AO109-AR109)/AO109)*100</f>
        <v>48.618784530386741</v>
      </c>
      <c r="AU109" s="59">
        <v>48.618784530386741</v>
      </c>
      <c r="AV109" s="2" t="s">
        <v>101</v>
      </c>
      <c r="AW109" s="2" t="s">
        <v>483</v>
      </c>
    </row>
    <row r="110" spans="1:50" ht="27.75" customHeight="1" x14ac:dyDescent="0.35">
      <c r="A110" s="1">
        <v>29</v>
      </c>
      <c r="B110" s="2" t="s">
        <v>468</v>
      </c>
      <c r="C110" s="2" t="s">
        <v>469</v>
      </c>
      <c r="D110" s="2" t="s">
        <v>245</v>
      </c>
      <c r="E110" s="28" t="s">
        <v>869</v>
      </c>
      <c r="F110" s="2" t="s">
        <v>470</v>
      </c>
      <c r="G110" s="2" t="s">
        <v>482</v>
      </c>
      <c r="H110" s="2">
        <v>600</v>
      </c>
      <c r="I110" s="2">
        <v>117</v>
      </c>
      <c r="J110" s="2" t="s">
        <v>881</v>
      </c>
      <c r="K110" s="5" t="s">
        <v>471</v>
      </c>
      <c r="L110" s="5" t="s">
        <v>480</v>
      </c>
      <c r="M110" s="2" t="s">
        <v>101</v>
      </c>
      <c r="N110" s="47" t="s">
        <v>914</v>
      </c>
      <c r="O110" s="2" t="s">
        <v>352</v>
      </c>
      <c r="P110" s="47" t="s">
        <v>534</v>
      </c>
      <c r="Q110" s="26" t="s">
        <v>319</v>
      </c>
      <c r="R110" s="26">
        <v>4.79</v>
      </c>
      <c r="S110" s="1" t="s">
        <v>101</v>
      </c>
      <c r="T110" s="1" t="s">
        <v>101</v>
      </c>
      <c r="U110" s="1" t="s">
        <v>101</v>
      </c>
      <c r="V110" s="1">
        <v>8.6199999999999992</v>
      </c>
      <c r="W110" s="2" t="s">
        <v>101</v>
      </c>
      <c r="X110" s="47">
        <v>130</v>
      </c>
      <c r="Y110" s="15" t="s">
        <v>480</v>
      </c>
      <c r="Z110" s="15"/>
      <c r="AA110" s="2" t="s">
        <v>481</v>
      </c>
      <c r="AB110" s="2" t="s">
        <v>479</v>
      </c>
      <c r="AC110" s="2" t="s">
        <v>846</v>
      </c>
      <c r="AD110" s="2" t="s">
        <v>478</v>
      </c>
      <c r="AE110" s="47" t="s">
        <v>923</v>
      </c>
      <c r="AF110" s="2" t="s">
        <v>477</v>
      </c>
      <c r="AG110" s="47" t="s">
        <v>936</v>
      </c>
      <c r="AH110" s="2" t="s">
        <v>473</v>
      </c>
      <c r="AI110" s="47" t="s">
        <v>944</v>
      </c>
      <c r="AK110" s="1">
        <v>7.33</v>
      </c>
      <c r="AL110" s="1">
        <v>31.39</v>
      </c>
      <c r="AM110" s="1">
        <v>38.5</v>
      </c>
      <c r="AN110" s="1" t="s">
        <v>101</v>
      </c>
      <c r="AO110" s="1">
        <v>18.100000000000001</v>
      </c>
      <c r="AP110" s="1" t="s">
        <v>101</v>
      </c>
      <c r="AQ110" s="1" t="s">
        <v>101</v>
      </c>
      <c r="AR110" s="1">
        <v>0.3</v>
      </c>
      <c r="AS110" s="1" t="s">
        <v>101</v>
      </c>
      <c r="AT110" s="2">
        <f t="shared" si="27"/>
        <v>98.342541436464074</v>
      </c>
      <c r="AU110" s="59">
        <v>98.342541436464074</v>
      </c>
      <c r="AV110" s="2" t="s">
        <v>101</v>
      </c>
      <c r="AW110" s="2" t="s">
        <v>483</v>
      </c>
    </row>
    <row r="111" spans="1:50" ht="27.75" customHeight="1" x14ac:dyDescent="0.35">
      <c r="A111" s="1">
        <v>29</v>
      </c>
      <c r="B111" s="2" t="s">
        <v>468</v>
      </c>
      <c r="C111" s="2" t="s">
        <v>469</v>
      </c>
      <c r="D111" s="2" t="s">
        <v>245</v>
      </c>
      <c r="E111" s="28" t="s">
        <v>869</v>
      </c>
      <c r="F111" s="2" t="s">
        <v>470</v>
      </c>
      <c r="G111" s="2" t="s">
        <v>482</v>
      </c>
      <c r="H111" s="2">
        <v>600</v>
      </c>
      <c r="I111" s="2">
        <v>117</v>
      </c>
      <c r="J111" s="2" t="s">
        <v>881</v>
      </c>
      <c r="K111" s="5" t="s">
        <v>471</v>
      </c>
      <c r="L111" s="5" t="s">
        <v>480</v>
      </c>
      <c r="M111" s="2" t="s">
        <v>101</v>
      </c>
      <c r="N111" s="47" t="s">
        <v>914</v>
      </c>
      <c r="O111" s="2" t="s">
        <v>352</v>
      </c>
      <c r="P111" s="47" t="s">
        <v>534</v>
      </c>
      <c r="Q111" s="26" t="s">
        <v>93</v>
      </c>
      <c r="R111" s="26">
        <v>2.68</v>
      </c>
      <c r="S111" s="1" t="s">
        <v>101</v>
      </c>
      <c r="T111" s="1" t="s">
        <v>101</v>
      </c>
      <c r="U111" s="1" t="s">
        <v>101</v>
      </c>
      <c r="V111" s="1">
        <v>8.6</v>
      </c>
      <c r="W111" s="2" t="s">
        <v>101</v>
      </c>
      <c r="X111" s="47">
        <v>130</v>
      </c>
      <c r="Y111" s="15" t="s">
        <v>480</v>
      </c>
      <c r="Z111" s="15"/>
      <c r="AA111" s="2" t="s">
        <v>481</v>
      </c>
      <c r="AB111" s="2" t="s">
        <v>479</v>
      </c>
      <c r="AC111" s="2" t="s">
        <v>846</v>
      </c>
      <c r="AD111" s="2" t="s">
        <v>477</v>
      </c>
      <c r="AE111" s="47" t="s">
        <v>936</v>
      </c>
      <c r="AF111" s="2" t="s">
        <v>477</v>
      </c>
      <c r="AG111" s="47" t="s">
        <v>936</v>
      </c>
      <c r="AH111" s="2" t="s">
        <v>474</v>
      </c>
      <c r="AI111" s="47" t="s">
        <v>924</v>
      </c>
      <c r="AK111" s="1">
        <v>5.56</v>
      </c>
      <c r="AL111" s="1">
        <v>4.07</v>
      </c>
      <c r="AM111" s="1">
        <v>38.5</v>
      </c>
      <c r="AN111" s="1" t="s">
        <v>101</v>
      </c>
      <c r="AO111" s="1">
        <v>18.100000000000001</v>
      </c>
      <c r="AP111" s="1">
        <v>4</v>
      </c>
      <c r="AQ111" s="1" t="s">
        <v>101</v>
      </c>
      <c r="AR111" s="1">
        <v>0.63</v>
      </c>
      <c r="AS111" s="1" t="s">
        <v>101</v>
      </c>
      <c r="AT111" s="2">
        <f t="shared" si="27"/>
        <v>96.519337016574596</v>
      </c>
      <c r="AU111" s="59">
        <v>96.519337016574596</v>
      </c>
      <c r="AV111" s="2" t="s">
        <v>101</v>
      </c>
      <c r="AW111" s="2" t="s">
        <v>483</v>
      </c>
    </row>
    <row r="112" spans="1:50" ht="27.75" customHeight="1" x14ac:dyDescent="0.35">
      <c r="A112" s="1">
        <v>29</v>
      </c>
      <c r="B112" s="2" t="s">
        <v>468</v>
      </c>
      <c r="C112" s="2" t="s">
        <v>469</v>
      </c>
      <c r="D112" s="2" t="s">
        <v>245</v>
      </c>
      <c r="E112" s="28" t="s">
        <v>869</v>
      </c>
      <c r="F112" s="2" t="s">
        <v>470</v>
      </c>
      <c r="G112" s="2" t="s">
        <v>482</v>
      </c>
      <c r="H112" s="2">
        <v>600</v>
      </c>
      <c r="I112" s="2">
        <v>117</v>
      </c>
      <c r="J112" s="2" t="s">
        <v>881</v>
      </c>
      <c r="K112" s="5" t="s">
        <v>471</v>
      </c>
      <c r="L112" s="5" t="s">
        <v>480</v>
      </c>
      <c r="M112" s="2" t="s">
        <v>101</v>
      </c>
      <c r="N112" s="47" t="s">
        <v>914</v>
      </c>
      <c r="O112" s="2" t="s">
        <v>352</v>
      </c>
      <c r="P112" s="47" t="s">
        <v>534</v>
      </c>
      <c r="Q112" s="26" t="s">
        <v>93</v>
      </c>
      <c r="R112" s="26">
        <v>2.68</v>
      </c>
      <c r="S112" s="1" t="s">
        <v>101</v>
      </c>
      <c r="T112" s="1" t="s">
        <v>101</v>
      </c>
      <c r="U112" s="1" t="s">
        <v>101</v>
      </c>
      <c r="V112" s="1">
        <v>8.6</v>
      </c>
      <c r="W112" s="2" t="s">
        <v>101</v>
      </c>
      <c r="X112" s="47">
        <v>130</v>
      </c>
      <c r="Y112" s="15" t="s">
        <v>480</v>
      </c>
      <c r="Z112" s="15"/>
      <c r="AA112" s="2" t="s">
        <v>481</v>
      </c>
      <c r="AB112" s="2" t="s">
        <v>479</v>
      </c>
      <c r="AC112" s="2" t="s">
        <v>846</v>
      </c>
      <c r="AD112" s="2" t="s">
        <v>477</v>
      </c>
      <c r="AE112" s="47" t="s">
        <v>936</v>
      </c>
      <c r="AF112" s="2" t="s">
        <v>477</v>
      </c>
      <c r="AG112" s="47" t="s">
        <v>936</v>
      </c>
      <c r="AH112" s="2" t="s">
        <v>475</v>
      </c>
      <c r="AI112" s="47" t="s">
        <v>941</v>
      </c>
      <c r="AK112" s="1">
        <v>8.57</v>
      </c>
      <c r="AL112" s="1">
        <v>2.6</v>
      </c>
      <c r="AM112" s="1">
        <v>38.5</v>
      </c>
      <c r="AN112" s="1" t="s">
        <v>101</v>
      </c>
      <c r="AO112" s="1">
        <v>18.100000000000001</v>
      </c>
      <c r="AP112" s="1">
        <v>17</v>
      </c>
      <c r="AQ112" s="1" t="s">
        <v>101</v>
      </c>
      <c r="AR112" s="1">
        <v>10.199999999999999</v>
      </c>
      <c r="AS112" s="1" t="s">
        <v>101</v>
      </c>
      <c r="AT112" s="2">
        <f t="shared" si="27"/>
        <v>43.646408839779014</v>
      </c>
      <c r="AU112" s="59">
        <v>43.646408839779014</v>
      </c>
      <c r="AV112" s="2" t="s">
        <v>101</v>
      </c>
      <c r="AW112" s="2" t="s">
        <v>483</v>
      </c>
    </row>
    <row r="113" spans="1:51" s="8" customFormat="1" ht="27.75" customHeight="1" thickBot="1" x14ac:dyDescent="0.4">
      <c r="A113" s="8">
        <v>29</v>
      </c>
      <c r="B113" s="11" t="s">
        <v>468</v>
      </c>
      <c r="C113" s="11" t="s">
        <v>469</v>
      </c>
      <c r="D113" s="11" t="s">
        <v>245</v>
      </c>
      <c r="E113" s="29" t="s">
        <v>869</v>
      </c>
      <c r="F113" s="11" t="s">
        <v>470</v>
      </c>
      <c r="G113" s="11" t="s">
        <v>482</v>
      </c>
      <c r="H113" s="2">
        <v>600</v>
      </c>
      <c r="I113" s="2">
        <v>117</v>
      </c>
      <c r="J113" s="2" t="s">
        <v>881</v>
      </c>
      <c r="K113" s="9" t="s">
        <v>471</v>
      </c>
      <c r="L113" s="9" t="s">
        <v>480</v>
      </c>
      <c r="M113" s="11" t="s">
        <v>101</v>
      </c>
      <c r="N113" s="47" t="s">
        <v>914</v>
      </c>
      <c r="O113" s="11" t="s">
        <v>352</v>
      </c>
      <c r="P113" s="47" t="s">
        <v>534</v>
      </c>
      <c r="Q113" s="27" t="s">
        <v>93</v>
      </c>
      <c r="R113" s="27">
        <v>2.68</v>
      </c>
      <c r="S113" s="8" t="s">
        <v>101</v>
      </c>
      <c r="T113" s="8" t="s">
        <v>101</v>
      </c>
      <c r="U113" s="8" t="s">
        <v>101</v>
      </c>
      <c r="V113" s="8">
        <v>8.6</v>
      </c>
      <c r="W113" s="11" t="s">
        <v>101</v>
      </c>
      <c r="X113" s="49">
        <v>130</v>
      </c>
      <c r="Y113" s="17" t="s">
        <v>480</v>
      </c>
      <c r="Z113" s="17"/>
      <c r="AA113" s="11" t="s">
        <v>481</v>
      </c>
      <c r="AB113" s="11" t="s">
        <v>479</v>
      </c>
      <c r="AC113" s="2" t="s">
        <v>846</v>
      </c>
      <c r="AD113" s="11" t="s">
        <v>477</v>
      </c>
      <c r="AE113" s="47" t="s">
        <v>923</v>
      </c>
      <c r="AF113" s="11" t="s">
        <v>477</v>
      </c>
      <c r="AG113" s="47" t="s">
        <v>936</v>
      </c>
      <c r="AH113" s="11" t="s">
        <v>476</v>
      </c>
      <c r="AI113" s="49" t="s">
        <v>942</v>
      </c>
      <c r="AJ113" s="11"/>
      <c r="AK113" s="8">
        <v>8.6199999999999992</v>
      </c>
      <c r="AL113" s="8">
        <v>2.59</v>
      </c>
      <c r="AM113" s="8">
        <v>38.5</v>
      </c>
      <c r="AN113" s="8" t="s">
        <v>101</v>
      </c>
      <c r="AO113" s="8">
        <v>18.100000000000001</v>
      </c>
      <c r="AP113" s="8">
        <v>13.1</v>
      </c>
      <c r="AQ113" s="8" t="s">
        <v>101</v>
      </c>
      <c r="AR113" s="8">
        <v>7.1</v>
      </c>
      <c r="AS113" s="8" t="s">
        <v>101</v>
      </c>
      <c r="AT113" s="11">
        <f t="shared" si="27"/>
        <v>60.773480662983424</v>
      </c>
      <c r="AU113" s="60">
        <v>60.773480662983424</v>
      </c>
      <c r="AV113" s="11" t="s">
        <v>101</v>
      </c>
      <c r="AW113" s="11" t="s">
        <v>483</v>
      </c>
    </row>
    <row r="114" spans="1:51" ht="27.75" customHeight="1" thickTop="1" x14ac:dyDescent="0.35">
      <c r="A114" s="1">
        <v>31</v>
      </c>
      <c r="B114" s="2" t="s">
        <v>488</v>
      </c>
      <c r="C114" s="2" t="s">
        <v>489</v>
      </c>
      <c r="D114" s="2" t="s">
        <v>490</v>
      </c>
      <c r="E114" s="28" t="s">
        <v>875</v>
      </c>
      <c r="F114" s="2" t="s">
        <v>491</v>
      </c>
      <c r="G114" s="2" t="s">
        <v>495</v>
      </c>
      <c r="J114" s="2" t="s">
        <v>880</v>
      </c>
      <c r="K114" s="1">
        <v>2020</v>
      </c>
      <c r="L114" s="1">
        <v>2020</v>
      </c>
      <c r="M114" s="2" t="s">
        <v>497</v>
      </c>
      <c r="N114" s="47" t="s">
        <v>886</v>
      </c>
      <c r="O114" s="2" t="s">
        <v>494</v>
      </c>
      <c r="P114" s="47" t="s">
        <v>892</v>
      </c>
      <c r="Q114" s="26" t="s">
        <v>93</v>
      </c>
      <c r="R114" s="52">
        <v>5.8999999999999997E-2</v>
      </c>
      <c r="S114" s="1">
        <v>0.1</v>
      </c>
      <c r="T114" s="30">
        <v>60.8</v>
      </c>
      <c r="U114" s="30">
        <v>4.0999999999999996</v>
      </c>
      <c r="V114" s="2">
        <v>7.7</v>
      </c>
      <c r="W114" s="2">
        <v>25</v>
      </c>
      <c r="X114" s="55">
        <f>W114*3.5</f>
        <v>87.5</v>
      </c>
      <c r="Y114" s="15">
        <v>43985</v>
      </c>
      <c r="Z114" s="15"/>
      <c r="AA114" s="2" t="s">
        <v>498</v>
      </c>
      <c r="AB114" s="2" t="s">
        <v>502</v>
      </c>
      <c r="AC114" s="2" t="s">
        <v>895</v>
      </c>
      <c r="AD114" s="2" t="s">
        <v>500</v>
      </c>
      <c r="AE114" s="47" t="s">
        <v>1035</v>
      </c>
      <c r="AF114" s="25" t="s">
        <v>501</v>
      </c>
      <c r="AG114" s="47" t="s">
        <v>936</v>
      </c>
      <c r="AH114" s="2" t="s">
        <v>101</v>
      </c>
      <c r="AI114" s="47"/>
      <c r="AK114" s="2" t="s">
        <v>101</v>
      </c>
      <c r="AL114" s="2" t="s">
        <v>101</v>
      </c>
      <c r="AM114" s="1">
        <v>55.2</v>
      </c>
      <c r="AN114" s="1" t="s">
        <v>101</v>
      </c>
      <c r="AO114" s="1">
        <v>33.561599999999999</v>
      </c>
      <c r="AP114" s="1">
        <v>45.6</v>
      </c>
      <c r="AQ114" s="1" t="s">
        <v>101</v>
      </c>
      <c r="AR114" s="1">
        <f t="shared" ref="AR114:AR119" si="28">T114*AP114/100</f>
        <v>27.724800000000002</v>
      </c>
      <c r="AS114" s="1" t="s">
        <v>101</v>
      </c>
      <c r="AT114" s="2">
        <f>((AM114-AP114)/AM114)*100</f>
        <v>17.39130434782609</v>
      </c>
      <c r="AU114" s="47">
        <v>17.39130434782609</v>
      </c>
      <c r="AV114" s="1" t="s">
        <v>101</v>
      </c>
      <c r="AW114" s="2" t="s">
        <v>863</v>
      </c>
    </row>
    <row r="115" spans="1:51" ht="27.75" customHeight="1" x14ac:dyDescent="0.35">
      <c r="A115" s="1">
        <v>31</v>
      </c>
      <c r="B115" s="2" t="s">
        <v>488</v>
      </c>
      <c r="C115" s="2" t="s">
        <v>489</v>
      </c>
      <c r="D115" s="2" t="s">
        <v>490</v>
      </c>
      <c r="E115" s="28" t="s">
        <v>875</v>
      </c>
      <c r="F115" s="2" t="s">
        <v>491</v>
      </c>
      <c r="G115" s="2" t="s">
        <v>495</v>
      </c>
      <c r="J115" s="2" t="s">
        <v>880</v>
      </c>
      <c r="K115" s="1">
        <v>2020</v>
      </c>
      <c r="L115" s="1">
        <v>2020</v>
      </c>
      <c r="M115" s="2" t="s">
        <v>497</v>
      </c>
      <c r="N115" s="47" t="s">
        <v>886</v>
      </c>
      <c r="O115" s="2" t="s">
        <v>494</v>
      </c>
      <c r="P115" s="47" t="s">
        <v>892</v>
      </c>
      <c r="Q115" s="26" t="s">
        <v>93</v>
      </c>
      <c r="R115" s="26">
        <v>5.9</v>
      </c>
      <c r="S115" s="1">
        <v>0.1</v>
      </c>
      <c r="T115" s="30">
        <v>60.8</v>
      </c>
      <c r="U115" s="30">
        <v>4.0999999999999996</v>
      </c>
      <c r="V115" s="2">
        <v>7.7</v>
      </c>
      <c r="W115" s="2">
        <v>25</v>
      </c>
      <c r="X115" s="55">
        <f t="shared" ref="X115" si="29">W115*3.5</f>
        <v>87.5</v>
      </c>
      <c r="Y115" s="15">
        <v>43985</v>
      </c>
      <c r="Z115" s="15"/>
      <c r="AA115" s="2" t="s">
        <v>498</v>
      </c>
      <c r="AB115" s="2" t="s">
        <v>502</v>
      </c>
      <c r="AC115" s="2" t="s">
        <v>895</v>
      </c>
      <c r="AD115" s="2" t="s">
        <v>501</v>
      </c>
      <c r="AE115" s="47" t="s">
        <v>940</v>
      </c>
      <c r="AF115" s="2" t="s">
        <v>501</v>
      </c>
      <c r="AG115" s="47" t="s">
        <v>936</v>
      </c>
      <c r="AH115" s="2" t="s">
        <v>499</v>
      </c>
      <c r="AI115" s="47"/>
      <c r="AK115" s="1">
        <v>7.3</v>
      </c>
      <c r="AL115" s="2" t="s">
        <v>101</v>
      </c>
      <c r="AM115" s="1">
        <v>55.2</v>
      </c>
      <c r="AN115" s="1" t="s">
        <v>101</v>
      </c>
      <c r="AO115" s="1">
        <v>33.561599999999999</v>
      </c>
      <c r="AP115" s="1">
        <v>46.1</v>
      </c>
      <c r="AQ115" s="1" t="s">
        <v>101</v>
      </c>
      <c r="AR115" s="1">
        <f t="shared" si="28"/>
        <v>28.0288</v>
      </c>
      <c r="AS115" s="1" t="s">
        <v>101</v>
      </c>
      <c r="AT115" s="2">
        <f t="shared" ref="AT115:AT119" si="30">((AM115-AP115)/AM115)*100</f>
        <v>16.485507246376812</v>
      </c>
      <c r="AU115" s="47">
        <v>16.485507246376812</v>
      </c>
      <c r="AV115" s="1" t="s">
        <v>101</v>
      </c>
      <c r="AW115" s="2" t="s">
        <v>863</v>
      </c>
    </row>
    <row r="116" spans="1:51" ht="27.75" customHeight="1" x14ac:dyDescent="0.35">
      <c r="A116" s="1">
        <v>31</v>
      </c>
      <c r="B116" s="2" t="s">
        <v>488</v>
      </c>
      <c r="C116" s="2" t="s">
        <v>489</v>
      </c>
      <c r="D116" s="2" t="s">
        <v>490</v>
      </c>
      <c r="E116" s="28" t="s">
        <v>875</v>
      </c>
      <c r="F116" s="2" t="s">
        <v>492</v>
      </c>
      <c r="G116" s="2" t="s">
        <v>496</v>
      </c>
      <c r="J116" s="2" t="s">
        <v>881</v>
      </c>
      <c r="K116" s="1">
        <v>2020</v>
      </c>
      <c r="L116" s="1">
        <v>2020</v>
      </c>
      <c r="M116" s="2" t="s">
        <v>497</v>
      </c>
      <c r="N116" s="47" t="s">
        <v>886</v>
      </c>
      <c r="O116" s="2" t="s">
        <v>494</v>
      </c>
      <c r="P116" s="47" t="s">
        <v>892</v>
      </c>
      <c r="Q116" s="26" t="s">
        <v>93</v>
      </c>
      <c r="R116" s="26">
        <v>5.9</v>
      </c>
      <c r="S116" s="1">
        <v>0.1</v>
      </c>
      <c r="T116" s="30">
        <v>60.8</v>
      </c>
      <c r="U116" s="30">
        <v>0.6</v>
      </c>
      <c r="V116" s="2">
        <v>7.6</v>
      </c>
      <c r="W116" s="2">
        <v>25</v>
      </c>
      <c r="X116" s="55">
        <f>W116*3.6</f>
        <v>90</v>
      </c>
      <c r="Y116" s="15">
        <v>43991</v>
      </c>
      <c r="Z116" s="15"/>
      <c r="AA116" s="2" t="s">
        <v>498</v>
      </c>
      <c r="AB116" s="2" t="s">
        <v>502</v>
      </c>
      <c r="AC116" s="2" t="s">
        <v>895</v>
      </c>
      <c r="AD116" s="2" t="s">
        <v>500</v>
      </c>
      <c r="AE116" s="47" t="s">
        <v>1035</v>
      </c>
      <c r="AF116" s="2" t="s">
        <v>501</v>
      </c>
      <c r="AG116" s="47" t="s">
        <v>936</v>
      </c>
      <c r="AH116" s="2" t="s">
        <v>101</v>
      </c>
      <c r="AI116" s="47"/>
      <c r="AK116" s="2" t="s">
        <v>101</v>
      </c>
      <c r="AL116" s="2" t="s">
        <v>101</v>
      </c>
      <c r="AM116" s="1">
        <v>46.2</v>
      </c>
      <c r="AN116" s="1" t="s">
        <v>101</v>
      </c>
      <c r="AO116" s="1">
        <v>28.089600000000001</v>
      </c>
      <c r="AP116" s="1">
        <v>28.3</v>
      </c>
      <c r="AQ116" s="1" t="s">
        <v>101</v>
      </c>
      <c r="AR116" s="1">
        <f t="shared" si="28"/>
        <v>17.206399999999999</v>
      </c>
      <c r="AS116" s="1" t="s">
        <v>101</v>
      </c>
      <c r="AT116" s="2">
        <f t="shared" si="30"/>
        <v>38.744588744588746</v>
      </c>
      <c r="AU116" s="47">
        <v>38.744588744588746</v>
      </c>
      <c r="AV116" s="1" t="s">
        <v>101</v>
      </c>
      <c r="AW116" s="2" t="s">
        <v>863</v>
      </c>
    </row>
    <row r="117" spans="1:51" ht="27.75" customHeight="1" x14ac:dyDescent="0.35">
      <c r="A117" s="1">
        <v>31</v>
      </c>
      <c r="B117" s="2" t="s">
        <v>488</v>
      </c>
      <c r="C117" s="2" t="s">
        <v>489</v>
      </c>
      <c r="D117" s="2" t="s">
        <v>490</v>
      </c>
      <c r="E117" s="28" t="s">
        <v>875</v>
      </c>
      <c r="F117" s="2" t="s">
        <v>492</v>
      </c>
      <c r="G117" s="2" t="s">
        <v>496</v>
      </c>
      <c r="J117" s="2" t="s">
        <v>881</v>
      </c>
      <c r="K117" s="1">
        <v>2020</v>
      </c>
      <c r="L117" s="1">
        <v>2020</v>
      </c>
      <c r="M117" s="2" t="s">
        <v>497</v>
      </c>
      <c r="N117" s="47" t="s">
        <v>886</v>
      </c>
      <c r="O117" s="2" t="s">
        <v>494</v>
      </c>
      <c r="P117" s="47" t="s">
        <v>892</v>
      </c>
      <c r="Q117" s="26" t="s">
        <v>93</v>
      </c>
      <c r="R117" s="26">
        <v>5.9</v>
      </c>
      <c r="S117" s="1">
        <v>0.1</v>
      </c>
      <c r="T117" s="30">
        <v>60.8</v>
      </c>
      <c r="U117" s="30">
        <v>0.6</v>
      </c>
      <c r="V117" s="2">
        <v>7.6</v>
      </c>
      <c r="W117" s="2">
        <v>25</v>
      </c>
      <c r="X117" s="55">
        <f t="shared" ref="X117:X119" si="31">W117*3.6</f>
        <v>90</v>
      </c>
      <c r="Y117" s="15">
        <v>43991</v>
      </c>
      <c r="Z117" s="15"/>
      <c r="AA117" s="2" t="s">
        <v>498</v>
      </c>
      <c r="AB117" s="2" t="s">
        <v>502</v>
      </c>
      <c r="AC117" s="2" t="s">
        <v>895</v>
      </c>
      <c r="AD117" s="2" t="s">
        <v>501</v>
      </c>
      <c r="AE117" s="47" t="s">
        <v>940</v>
      </c>
      <c r="AF117" s="2" t="s">
        <v>501</v>
      </c>
      <c r="AG117" s="47" t="s">
        <v>936</v>
      </c>
      <c r="AH117" s="2" t="s">
        <v>499</v>
      </c>
      <c r="AI117" s="47"/>
      <c r="AK117" s="1">
        <v>7.3</v>
      </c>
      <c r="AL117" s="2" t="s">
        <v>101</v>
      </c>
      <c r="AM117" s="1">
        <v>46.2</v>
      </c>
      <c r="AN117" s="1" t="s">
        <v>101</v>
      </c>
      <c r="AO117" s="1">
        <v>28.089600000000001</v>
      </c>
      <c r="AP117" s="1">
        <v>43.3</v>
      </c>
      <c r="AQ117" s="1" t="s">
        <v>101</v>
      </c>
      <c r="AR117" s="1">
        <f t="shared" si="28"/>
        <v>26.3264</v>
      </c>
      <c r="AS117" s="1" t="s">
        <v>101</v>
      </c>
      <c r="AT117" s="2">
        <f t="shared" si="30"/>
        <v>6.277056277056289</v>
      </c>
      <c r="AU117" s="47">
        <v>6.277056277056289</v>
      </c>
      <c r="AV117" s="1" t="s">
        <v>101</v>
      </c>
      <c r="AW117" s="2" t="s">
        <v>863</v>
      </c>
    </row>
    <row r="118" spans="1:51" s="2" customFormat="1" ht="27.75" customHeight="1" x14ac:dyDescent="0.35">
      <c r="A118" s="1">
        <v>31</v>
      </c>
      <c r="B118" s="2" t="s">
        <v>488</v>
      </c>
      <c r="C118" s="2" t="s">
        <v>489</v>
      </c>
      <c r="D118" s="2" t="s">
        <v>490</v>
      </c>
      <c r="E118" s="28" t="s">
        <v>875</v>
      </c>
      <c r="F118" s="2" t="s">
        <v>493</v>
      </c>
      <c r="G118" s="2" t="s">
        <v>496</v>
      </c>
      <c r="J118" s="2" t="s">
        <v>881</v>
      </c>
      <c r="K118" s="1">
        <v>2021</v>
      </c>
      <c r="L118" s="1">
        <v>2021</v>
      </c>
      <c r="M118" s="2" t="s">
        <v>497</v>
      </c>
      <c r="N118" s="47" t="s">
        <v>886</v>
      </c>
      <c r="O118" s="2" t="s">
        <v>494</v>
      </c>
      <c r="P118" s="47" t="s">
        <v>892</v>
      </c>
      <c r="Q118" s="26" t="s">
        <v>93</v>
      </c>
      <c r="R118" s="26">
        <v>3.4</v>
      </c>
      <c r="S118" s="1">
        <v>0.02</v>
      </c>
      <c r="T118" s="30">
        <v>55.7</v>
      </c>
      <c r="U118" s="30">
        <v>1.5</v>
      </c>
      <c r="V118" s="2">
        <v>7.8</v>
      </c>
      <c r="W118" s="2">
        <v>19</v>
      </c>
      <c r="X118" s="55">
        <f t="shared" si="31"/>
        <v>68.400000000000006</v>
      </c>
      <c r="Y118" s="15">
        <v>44271</v>
      </c>
      <c r="Z118" s="15"/>
      <c r="AA118" s="2" t="s">
        <v>498</v>
      </c>
      <c r="AB118" s="2" t="s">
        <v>502</v>
      </c>
      <c r="AC118" s="2" t="s">
        <v>895</v>
      </c>
      <c r="AD118" s="2" t="s">
        <v>500</v>
      </c>
      <c r="AE118" s="47" t="s">
        <v>1035</v>
      </c>
      <c r="AF118" s="2" t="s">
        <v>501</v>
      </c>
      <c r="AG118" s="47" t="s">
        <v>936</v>
      </c>
      <c r="AH118" s="2" t="s">
        <v>101</v>
      </c>
      <c r="AI118" s="47"/>
      <c r="AK118" s="2" t="s">
        <v>101</v>
      </c>
      <c r="AL118" s="2" t="s">
        <v>101</v>
      </c>
      <c r="AM118" s="1">
        <v>25.05</v>
      </c>
      <c r="AN118" s="1" t="s">
        <v>101</v>
      </c>
      <c r="AO118" s="1">
        <v>13.952850000000002</v>
      </c>
      <c r="AP118" s="1">
        <v>10.4</v>
      </c>
      <c r="AQ118" s="1" t="s">
        <v>101</v>
      </c>
      <c r="AR118" s="1">
        <f t="shared" si="28"/>
        <v>5.7928000000000006</v>
      </c>
      <c r="AS118" s="1" t="s">
        <v>101</v>
      </c>
      <c r="AT118" s="2">
        <f t="shared" si="30"/>
        <v>58.483033932135733</v>
      </c>
      <c r="AU118" s="47">
        <v>58.483033932135733</v>
      </c>
      <c r="AV118" s="1" t="s">
        <v>101</v>
      </c>
      <c r="AW118" s="2" t="s">
        <v>863</v>
      </c>
      <c r="AX118" s="1"/>
      <c r="AY118" s="1"/>
    </row>
    <row r="119" spans="1:51" s="11" customFormat="1" ht="27.75" customHeight="1" thickBot="1" x14ac:dyDescent="0.4">
      <c r="A119" s="8">
        <v>31</v>
      </c>
      <c r="B119" s="11" t="s">
        <v>488</v>
      </c>
      <c r="C119" s="11" t="s">
        <v>489</v>
      </c>
      <c r="D119" s="11" t="s">
        <v>490</v>
      </c>
      <c r="E119" s="29" t="s">
        <v>875</v>
      </c>
      <c r="F119" s="11" t="s">
        <v>493</v>
      </c>
      <c r="G119" s="11" t="s">
        <v>496</v>
      </c>
      <c r="J119" s="2" t="s">
        <v>881</v>
      </c>
      <c r="K119" s="8">
        <v>2021</v>
      </c>
      <c r="L119" s="8">
        <v>2021</v>
      </c>
      <c r="M119" s="11" t="s">
        <v>497</v>
      </c>
      <c r="N119" s="47" t="s">
        <v>886</v>
      </c>
      <c r="O119" s="11" t="s">
        <v>494</v>
      </c>
      <c r="P119" s="47" t="s">
        <v>892</v>
      </c>
      <c r="Q119" s="27" t="s">
        <v>93</v>
      </c>
      <c r="R119" s="27">
        <v>3.4</v>
      </c>
      <c r="S119" s="8">
        <v>0.02</v>
      </c>
      <c r="T119" s="31">
        <v>55.7</v>
      </c>
      <c r="U119" s="31">
        <v>1.5</v>
      </c>
      <c r="V119" s="11">
        <v>7.8</v>
      </c>
      <c r="W119" s="11">
        <v>19</v>
      </c>
      <c r="X119" s="56">
        <f t="shared" si="31"/>
        <v>68.400000000000006</v>
      </c>
      <c r="Y119" s="17">
        <v>44271</v>
      </c>
      <c r="Z119" s="17"/>
      <c r="AA119" s="11" t="s">
        <v>498</v>
      </c>
      <c r="AB119" s="11" t="s">
        <v>502</v>
      </c>
      <c r="AC119" s="2" t="s">
        <v>895</v>
      </c>
      <c r="AD119" s="11" t="s">
        <v>501</v>
      </c>
      <c r="AE119" s="47" t="s">
        <v>940</v>
      </c>
      <c r="AF119" s="11" t="s">
        <v>501</v>
      </c>
      <c r="AG119" s="47" t="s">
        <v>936</v>
      </c>
      <c r="AH119" s="11" t="s">
        <v>499</v>
      </c>
      <c r="AI119" s="49"/>
      <c r="AK119" s="8">
        <v>7.5</v>
      </c>
      <c r="AL119" s="11" t="s">
        <v>101</v>
      </c>
      <c r="AM119" s="8">
        <v>25.05</v>
      </c>
      <c r="AN119" s="8" t="s">
        <v>101</v>
      </c>
      <c r="AO119" s="8">
        <v>13.952850000000002</v>
      </c>
      <c r="AP119" s="8">
        <v>21.2</v>
      </c>
      <c r="AQ119" s="8" t="s">
        <v>101</v>
      </c>
      <c r="AR119" s="8">
        <f t="shared" si="28"/>
        <v>11.808399999999999</v>
      </c>
      <c r="AS119" s="8" t="s">
        <v>101</v>
      </c>
      <c r="AT119" s="11">
        <f t="shared" si="30"/>
        <v>15.369261477045914</v>
      </c>
      <c r="AU119" s="49">
        <v>15.369261477045914</v>
      </c>
      <c r="AV119" s="8" t="s">
        <v>101</v>
      </c>
      <c r="AW119" s="11" t="s">
        <v>863</v>
      </c>
      <c r="AX119" s="8"/>
      <c r="AY119" s="8"/>
    </row>
    <row r="120" spans="1:51" s="2" customFormat="1" ht="27.75" customHeight="1" thickTop="1" x14ac:dyDescent="0.35">
      <c r="A120" s="1">
        <v>32</v>
      </c>
      <c r="B120" s="2" t="s">
        <v>503</v>
      </c>
      <c r="C120" s="2" t="s">
        <v>504</v>
      </c>
      <c r="D120" s="2" t="s">
        <v>490</v>
      </c>
      <c r="E120" s="28" t="s">
        <v>875</v>
      </c>
      <c r="F120" s="2" t="s">
        <v>491</v>
      </c>
      <c r="G120" s="2" t="s">
        <v>507</v>
      </c>
      <c r="J120" s="2" t="s">
        <v>880</v>
      </c>
      <c r="K120" s="5" t="s">
        <v>505</v>
      </c>
      <c r="L120" s="5" t="s">
        <v>506</v>
      </c>
      <c r="M120" s="2" t="s">
        <v>508</v>
      </c>
      <c r="N120" s="47" t="s">
        <v>885</v>
      </c>
      <c r="O120" s="2" t="s">
        <v>487</v>
      </c>
      <c r="P120" s="47" t="s">
        <v>889</v>
      </c>
      <c r="Q120" s="26" t="s">
        <v>93</v>
      </c>
      <c r="R120" s="26">
        <v>3.87</v>
      </c>
      <c r="S120" s="1">
        <v>0.05</v>
      </c>
      <c r="T120" s="32">
        <v>2.2200000000000002</v>
      </c>
      <c r="U120" s="33">
        <v>0.03</v>
      </c>
      <c r="V120" s="1">
        <v>7.19</v>
      </c>
      <c r="W120" s="2">
        <v>4.5</v>
      </c>
      <c r="X120" s="55">
        <f>W120*2.62*10</f>
        <v>117.9</v>
      </c>
      <c r="Y120" s="2" t="s">
        <v>101</v>
      </c>
      <c r="AA120" s="2" t="s">
        <v>517</v>
      </c>
      <c r="AB120" s="2" t="s">
        <v>527</v>
      </c>
      <c r="AC120" s="2" t="s">
        <v>895</v>
      </c>
      <c r="AD120" s="2" t="s">
        <v>521</v>
      </c>
      <c r="AE120" s="47" t="s">
        <v>940</v>
      </c>
      <c r="AF120" s="2" t="s">
        <v>524</v>
      </c>
      <c r="AG120" s="47" t="s">
        <v>936</v>
      </c>
      <c r="AH120" s="2" t="s">
        <v>101</v>
      </c>
      <c r="AI120" s="47"/>
      <c r="AK120" s="2" t="s">
        <v>101</v>
      </c>
      <c r="AL120" s="2" t="s">
        <v>101</v>
      </c>
      <c r="AM120" s="1">
        <v>0.27</v>
      </c>
      <c r="AN120" s="1" t="s">
        <v>101</v>
      </c>
      <c r="AO120" s="36">
        <f>AM120*10*10</f>
        <v>27</v>
      </c>
      <c r="AP120" s="1">
        <v>0.12</v>
      </c>
      <c r="AQ120" s="1" t="s">
        <v>101</v>
      </c>
      <c r="AR120" s="36">
        <f>10*AP120*10</f>
        <v>12</v>
      </c>
      <c r="AS120" s="1" t="s">
        <v>101</v>
      </c>
      <c r="AT120" s="2">
        <f>((AM120-AP120)/AM120)*100</f>
        <v>55.555555555555557</v>
      </c>
      <c r="AU120" s="47">
        <v>55.555555555555557</v>
      </c>
      <c r="AV120" s="1">
        <v>20</v>
      </c>
      <c r="AW120" s="2" t="s">
        <v>865</v>
      </c>
      <c r="AX120" s="1" t="s">
        <v>519</v>
      </c>
      <c r="AY120" s="1"/>
    </row>
    <row r="121" spans="1:51" s="2" customFormat="1" ht="27.75" customHeight="1" x14ac:dyDescent="0.35">
      <c r="A121" s="1">
        <v>32</v>
      </c>
      <c r="B121" s="2" t="s">
        <v>503</v>
      </c>
      <c r="C121" s="2" t="s">
        <v>504</v>
      </c>
      <c r="D121" s="2" t="s">
        <v>490</v>
      </c>
      <c r="E121" s="28" t="s">
        <v>875</v>
      </c>
      <c r="F121" s="2" t="s">
        <v>492</v>
      </c>
      <c r="G121" s="2" t="s">
        <v>509</v>
      </c>
      <c r="J121" s="2" t="s">
        <v>881</v>
      </c>
      <c r="K121" s="5" t="s">
        <v>505</v>
      </c>
      <c r="L121" s="5" t="s">
        <v>506</v>
      </c>
      <c r="M121" s="2" t="s">
        <v>508</v>
      </c>
      <c r="N121" s="47" t="s">
        <v>885</v>
      </c>
      <c r="O121" s="2" t="s">
        <v>487</v>
      </c>
      <c r="P121" s="47" t="s">
        <v>889</v>
      </c>
      <c r="Q121" s="26" t="s">
        <v>93</v>
      </c>
      <c r="R121" s="26">
        <v>3.48</v>
      </c>
      <c r="S121" s="1">
        <v>0.09</v>
      </c>
      <c r="T121" s="33">
        <v>2.2000000000000002</v>
      </c>
      <c r="U121" s="33">
        <v>0.08</v>
      </c>
      <c r="V121" s="1">
        <v>7.04</v>
      </c>
      <c r="W121" s="2">
        <v>4.5</v>
      </c>
      <c r="X121" s="55">
        <f>W121*3.45*10</f>
        <v>155.25</v>
      </c>
      <c r="Y121" s="2" t="s">
        <v>101</v>
      </c>
      <c r="AA121" s="2" t="s">
        <v>517</v>
      </c>
      <c r="AB121" s="2" t="s">
        <v>527</v>
      </c>
      <c r="AC121" s="2" t="s">
        <v>895</v>
      </c>
      <c r="AD121" s="2" t="s">
        <v>521</v>
      </c>
      <c r="AE121" s="47" t="s">
        <v>940</v>
      </c>
      <c r="AF121" s="2" t="s">
        <v>524</v>
      </c>
      <c r="AG121" s="47" t="s">
        <v>936</v>
      </c>
      <c r="AH121" s="2" t="s">
        <v>101</v>
      </c>
      <c r="AI121" s="47"/>
      <c r="AK121" s="2" t="s">
        <v>101</v>
      </c>
      <c r="AL121" s="2" t="s">
        <v>101</v>
      </c>
      <c r="AM121" s="1">
        <v>0.21</v>
      </c>
      <c r="AN121" s="1" t="s">
        <v>101</v>
      </c>
      <c r="AO121" s="36">
        <f>9.9*AM121*10</f>
        <v>20.790000000000003</v>
      </c>
      <c r="AP121" s="1">
        <v>0.28000000000000003</v>
      </c>
      <c r="AQ121" s="1" t="s">
        <v>101</v>
      </c>
      <c r="AR121" s="36">
        <f>9.9*AP121*10</f>
        <v>27.720000000000002</v>
      </c>
      <c r="AS121" s="1" t="s">
        <v>101</v>
      </c>
      <c r="AT121" s="2">
        <f t="shared" ref="AT121:AT132" si="32">((AM121-AP121)/AM121)*100</f>
        <v>-33.333333333333357</v>
      </c>
      <c r="AU121" s="47">
        <v>-33.333333333333357</v>
      </c>
      <c r="AV121" s="1" t="s">
        <v>101</v>
      </c>
      <c r="AW121" s="2" t="s">
        <v>865</v>
      </c>
      <c r="AX121" s="1" t="s">
        <v>518</v>
      </c>
      <c r="AY121" s="1"/>
    </row>
    <row r="122" spans="1:51" s="2" customFormat="1" ht="27.75" customHeight="1" x14ac:dyDescent="0.35">
      <c r="A122" s="1">
        <v>32</v>
      </c>
      <c r="B122" s="2" t="s">
        <v>503</v>
      </c>
      <c r="C122" s="2" t="s">
        <v>504</v>
      </c>
      <c r="D122" s="2" t="s">
        <v>490</v>
      </c>
      <c r="E122" s="28" t="s">
        <v>875</v>
      </c>
      <c r="F122" s="2" t="s">
        <v>493</v>
      </c>
      <c r="G122" s="2" t="s">
        <v>510</v>
      </c>
      <c r="J122" s="2" t="s">
        <v>880</v>
      </c>
      <c r="K122" s="5" t="s">
        <v>505</v>
      </c>
      <c r="L122" s="5" t="s">
        <v>506</v>
      </c>
      <c r="M122" s="2" t="s">
        <v>508</v>
      </c>
      <c r="N122" s="47" t="s">
        <v>885</v>
      </c>
      <c r="O122" s="2" t="s">
        <v>487</v>
      </c>
      <c r="P122" s="47" t="s">
        <v>889</v>
      </c>
      <c r="Q122" s="26" t="s">
        <v>93</v>
      </c>
      <c r="R122" s="26">
        <v>3.4</v>
      </c>
      <c r="S122" s="1">
        <v>0.18</v>
      </c>
      <c r="T122" s="33">
        <v>2.25</v>
      </c>
      <c r="U122" s="33">
        <v>0.1</v>
      </c>
      <c r="V122" s="1">
        <v>7.1</v>
      </c>
      <c r="W122" s="2">
        <v>4.5</v>
      </c>
      <c r="X122" s="55">
        <f>W122*2.92*10</f>
        <v>131.4</v>
      </c>
      <c r="Y122" s="2" t="s">
        <v>101</v>
      </c>
      <c r="AA122" s="2" t="s">
        <v>517</v>
      </c>
      <c r="AB122" s="2" t="s">
        <v>527</v>
      </c>
      <c r="AC122" s="2" t="s">
        <v>895</v>
      </c>
      <c r="AD122" s="2" t="s">
        <v>521</v>
      </c>
      <c r="AE122" s="47" t="s">
        <v>940</v>
      </c>
      <c r="AF122" s="2" t="s">
        <v>524</v>
      </c>
      <c r="AG122" s="47" t="s">
        <v>936</v>
      </c>
      <c r="AH122" s="2" t="s">
        <v>101</v>
      </c>
      <c r="AI122" s="47"/>
      <c r="AK122" s="2" t="s">
        <v>101</v>
      </c>
      <c r="AL122" s="2" t="s">
        <v>101</v>
      </c>
      <c r="AM122" s="1">
        <v>0.30299999999999999</v>
      </c>
      <c r="AN122" s="1" t="s">
        <v>101</v>
      </c>
      <c r="AO122" s="36">
        <f>10.11*AM122*10</f>
        <v>30.633299999999998</v>
      </c>
      <c r="AP122" s="1">
        <v>0.28999999999999998</v>
      </c>
      <c r="AQ122" s="1" t="s">
        <v>101</v>
      </c>
      <c r="AR122" s="36">
        <f>10.11*AP122*10</f>
        <v>29.318999999999996</v>
      </c>
      <c r="AS122" s="1" t="s">
        <v>101</v>
      </c>
      <c r="AT122" s="2">
        <f t="shared" si="32"/>
        <v>4.2904290429042948</v>
      </c>
      <c r="AU122" s="47">
        <v>4.2904290429042948</v>
      </c>
      <c r="AV122" s="1" t="s">
        <v>101</v>
      </c>
      <c r="AW122" s="2" t="s">
        <v>865</v>
      </c>
      <c r="AX122" s="1" t="s">
        <v>522</v>
      </c>
      <c r="AY122" s="1"/>
    </row>
    <row r="123" spans="1:51" s="2" customFormat="1" ht="27.75" customHeight="1" x14ac:dyDescent="0.35">
      <c r="A123" s="1">
        <v>32</v>
      </c>
      <c r="B123" s="2" t="s">
        <v>503</v>
      </c>
      <c r="C123" s="2" t="s">
        <v>504</v>
      </c>
      <c r="D123" s="2" t="s">
        <v>490</v>
      </c>
      <c r="E123" s="28" t="s">
        <v>875</v>
      </c>
      <c r="F123" s="2" t="s">
        <v>511</v>
      </c>
      <c r="G123" s="2" t="s">
        <v>509</v>
      </c>
      <c r="J123" s="2" t="s">
        <v>881</v>
      </c>
      <c r="K123" s="5" t="s">
        <v>505</v>
      </c>
      <c r="L123" s="5" t="s">
        <v>506</v>
      </c>
      <c r="M123" s="2" t="s">
        <v>497</v>
      </c>
      <c r="N123" s="47" t="s">
        <v>886</v>
      </c>
      <c r="O123" s="2" t="s">
        <v>445</v>
      </c>
      <c r="P123" s="47" t="s">
        <v>534</v>
      </c>
      <c r="Q123" s="26" t="s">
        <v>93</v>
      </c>
      <c r="R123" s="26">
        <v>9.0399999999999991</v>
      </c>
      <c r="S123" s="1">
        <v>0.01</v>
      </c>
      <c r="T123" s="33">
        <v>2.79</v>
      </c>
      <c r="U123" s="33">
        <v>0.13</v>
      </c>
      <c r="V123" s="1">
        <v>6.94</v>
      </c>
      <c r="W123" s="2">
        <v>3.5</v>
      </c>
      <c r="X123" s="55">
        <f>W123*5.07*10</f>
        <v>177.45000000000002</v>
      </c>
      <c r="Y123" s="2" t="s">
        <v>101</v>
      </c>
      <c r="AA123" s="2" t="s">
        <v>517</v>
      </c>
      <c r="AB123" s="2" t="s">
        <v>527</v>
      </c>
      <c r="AC123" s="2" t="s">
        <v>895</v>
      </c>
      <c r="AD123" s="2" t="s">
        <v>521</v>
      </c>
      <c r="AE123" s="47" t="s">
        <v>940</v>
      </c>
      <c r="AF123" s="2" t="s">
        <v>524</v>
      </c>
      <c r="AG123" s="47" t="s">
        <v>936</v>
      </c>
      <c r="AH123" s="2" t="s">
        <v>101</v>
      </c>
      <c r="AI123" s="47"/>
      <c r="AK123" s="2" t="s">
        <v>101</v>
      </c>
      <c r="AL123" s="2" t="s">
        <v>101</v>
      </c>
      <c r="AM123" s="1">
        <v>0.31</v>
      </c>
      <c r="AN123" s="1" t="s">
        <v>101</v>
      </c>
      <c r="AO123" s="36">
        <f>9.77*AM123*10</f>
        <v>30.286999999999999</v>
      </c>
      <c r="AP123" s="1">
        <v>0.21</v>
      </c>
      <c r="AQ123" s="1" t="s">
        <v>101</v>
      </c>
      <c r="AR123" s="36">
        <f>9.77*AP123*10</f>
        <v>20.516999999999999</v>
      </c>
      <c r="AS123" s="1" t="s">
        <v>101</v>
      </c>
      <c r="AT123" s="2">
        <f t="shared" si="32"/>
        <v>32.258064516129039</v>
      </c>
      <c r="AU123" s="47">
        <v>32.258064516129039</v>
      </c>
      <c r="AV123" s="1" t="s">
        <v>101</v>
      </c>
      <c r="AW123" s="2" t="s">
        <v>865</v>
      </c>
      <c r="AX123" s="1" t="s">
        <v>520</v>
      </c>
      <c r="AY123" s="1"/>
    </row>
    <row r="124" spans="1:51" s="2" customFormat="1" ht="27.75" customHeight="1" x14ac:dyDescent="0.35">
      <c r="A124" s="1">
        <v>32</v>
      </c>
      <c r="B124" s="2" t="s">
        <v>503</v>
      </c>
      <c r="C124" s="2" t="s">
        <v>504</v>
      </c>
      <c r="D124" s="2" t="s">
        <v>490</v>
      </c>
      <c r="E124" s="28" t="s">
        <v>875</v>
      </c>
      <c r="F124" s="2" t="s">
        <v>512</v>
      </c>
      <c r="G124" s="2" t="s">
        <v>509</v>
      </c>
      <c r="J124" s="2" t="s">
        <v>881</v>
      </c>
      <c r="K124" s="5" t="s">
        <v>505</v>
      </c>
      <c r="L124" s="5" t="s">
        <v>506</v>
      </c>
      <c r="M124" s="2" t="s">
        <v>497</v>
      </c>
      <c r="N124" s="47" t="s">
        <v>886</v>
      </c>
      <c r="O124" s="2" t="s">
        <v>445</v>
      </c>
      <c r="P124" s="47" t="s">
        <v>534</v>
      </c>
      <c r="Q124" s="26" t="s">
        <v>93</v>
      </c>
      <c r="R124" s="26">
        <v>8.9600000000000009</v>
      </c>
      <c r="S124" s="1">
        <v>0.02</v>
      </c>
      <c r="T124" s="33">
        <v>2.83</v>
      </c>
      <c r="U124" s="33">
        <v>0.19</v>
      </c>
      <c r="V124" s="1">
        <v>6.94</v>
      </c>
      <c r="W124" s="2">
        <v>3.5</v>
      </c>
      <c r="X124" s="55">
        <f>W124*4.61*10</f>
        <v>161.35000000000002</v>
      </c>
      <c r="Y124" s="2" t="s">
        <v>101</v>
      </c>
      <c r="AA124" s="2" t="s">
        <v>517</v>
      </c>
      <c r="AB124" s="2" t="s">
        <v>527</v>
      </c>
      <c r="AC124" s="2" t="s">
        <v>895</v>
      </c>
      <c r="AD124" s="2" t="s">
        <v>521</v>
      </c>
      <c r="AE124" s="47" t="s">
        <v>940</v>
      </c>
      <c r="AF124" s="2" t="s">
        <v>524</v>
      </c>
      <c r="AG124" s="47" t="s">
        <v>936</v>
      </c>
      <c r="AH124" s="2" t="s">
        <v>101</v>
      </c>
      <c r="AI124" s="47"/>
      <c r="AK124" s="2" t="s">
        <v>101</v>
      </c>
      <c r="AL124" s="2" t="s">
        <v>101</v>
      </c>
      <c r="AM124" s="1">
        <v>0.34</v>
      </c>
      <c r="AN124" s="1" t="s">
        <v>101</v>
      </c>
      <c r="AO124" s="36">
        <f>9.9*AM124*10</f>
        <v>33.660000000000004</v>
      </c>
      <c r="AP124" s="1">
        <v>0.28000000000000003</v>
      </c>
      <c r="AQ124" s="1" t="s">
        <v>101</v>
      </c>
      <c r="AR124" s="36">
        <f>9.9*AP124*10</f>
        <v>27.720000000000002</v>
      </c>
      <c r="AS124" s="1" t="s">
        <v>101</v>
      </c>
      <c r="AT124" s="2">
        <f t="shared" si="32"/>
        <v>17.647058823529409</v>
      </c>
      <c r="AU124" s="47">
        <v>17.647058823529409</v>
      </c>
      <c r="AV124" s="1" t="s">
        <v>101</v>
      </c>
      <c r="AW124" s="2" t="s">
        <v>865</v>
      </c>
      <c r="AX124" s="1"/>
      <c r="AY124" s="1"/>
    </row>
    <row r="125" spans="1:51" s="2" customFormat="1" ht="27.75" customHeight="1" x14ac:dyDescent="0.35">
      <c r="A125" s="1">
        <v>32</v>
      </c>
      <c r="B125" s="2" t="s">
        <v>503</v>
      </c>
      <c r="C125" s="2" t="s">
        <v>504</v>
      </c>
      <c r="D125" s="2" t="s">
        <v>490</v>
      </c>
      <c r="E125" s="28" t="s">
        <v>875</v>
      </c>
      <c r="F125" s="2" t="s">
        <v>513</v>
      </c>
      <c r="G125" s="2" t="s">
        <v>507</v>
      </c>
      <c r="J125" s="2" t="s">
        <v>880</v>
      </c>
      <c r="K125" s="5" t="s">
        <v>505</v>
      </c>
      <c r="L125" s="5" t="s">
        <v>506</v>
      </c>
      <c r="M125" s="2" t="s">
        <v>101</v>
      </c>
      <c r="N125" s="47" t="s">
        <v>914</v>
      </c>
      <c r="O125" s="2" t="s">
        <v>487</v>
      </c>
      <c r="P125" s="47" t="s">
        <v>889</v>
      </c>
      <c r="Q125" s="26" t="s">
        <v>93</v>
      </c>
      <c r="R125" s="26">
        <v>3.17</v>
      </c>
      <c r="S125" s="1">
        <v>0.27</v>
      </c>
      <c r="T125" s="33">
        <v>1.1599999999999999</v>
      </c>
      <c r="U125" s="33">
        <v>0.12</v>
      </c>
      <c r="V125" s="1">
        <v>7.3</v>
      </c>
      <c r="W125" s="2">
        <v>4.5</v>
      </c>
      <c r="X125" s="55">
        <f>W125*1.71*10</f>
        <v>76.95</v>
      </c>
      <c r="Y125" s="2" t="s">
        <v>101</v>
      </c>
      <c r="AA125" s="2" t="s">
        <v>517</v>
      </c>
      <c r="AB125" s="2" t="s">
        <v>527</v>
      </c>
      <c r="AC125" s="2" t="s">
        <v>895</v>
      </c>
      <c r="AD125" s="2" t="s">
        <v>521</v>
      </c>
      <c r="AE125" s="47" t="s">
        <v>940</v>
      </c>
      <c r="AF125" s="2" t="s">
        <v>524</v>
      </c>
      <c r="AG125" s="47" t="s">
        <v>936</v>
      </c>
      <c r="AH125" s="2" t="s">
        <v>101</v>
      </c>
      <c r="AI125" s="47"/>
      <c r="AK125" s="2" t="s">
        <v>101</v>
      </c>
      <c r="AL125" s="2" t="s">
        <v>101</v>
      </c>
      <c r="AM125" s="34">
        <v>0.28000000000000003</v>
      </c>
      <c r="AN125" s="1" t="s">
        <v>101</v>
      </c>
      <c r="AO125" s="36">
        <f>5.21*AM125*10</f>
        <v>14.588000000000001</v>
      </c>
      <c r="AP125" s="1">
        <v>0.18</v>
      </c>
      <c r="AQ125" s="1" t="s">
        <v>101</v>
      </c>
      <c r="AR125" s="36">
        <f>5.21*AP125*10</f>
        <v>9.3780000000000001</v>
      </c>
      <c r="AS125" s="1" t="s">
        <v>101</v>
      </c>
      <c r="AT125" s="2">
        <f t="shared" si="32"/>
        <v>35.714285714285722</v>
      </c>
      <c r="AU125" s="47">
        <v>35.714285714285722</v>
      </c>
      <c r="AV125" s="1" t="s">
        <v>101</v>
      </c>
      <c r="AW125" s="2" t="s">
        <v>865</v>
      </c>
      <c r="AX125" s="1" t="s">
        <v>523</v>
      </c>
      <c r="AY125" s="1"/>
    </row>
    <row r="126" spans="1:51" s="2" customFormat="1" ht="27.75" customHeight="1" x14ac:dyDescent="0.35">
      <c r="A126" s="1">
        <v>32</v>
      </c>
      <c r="B126" s="2" t="s">
        <v>503</v>
      </c>
      <c r="C126" s="2" t="s">
        <v>504</v>
      </c>
      <c r="D126" s="2" t="s">
        <v>490</v>
      </c>
      <c r="E126" s="28" t="s">
        <v>875</v>
      </c>
      <c r="F126" s="2" t="s">
        <v>513</v>
      </c>
      <c r="G126" s="2" t="s">
        <v>509</v>
      </c>
      <c r="J126" s="2" t="s">
        <v>881</v>
      </c>
      <c r="K126" s="5" t="s">
        <v>505</v>
      </c>
      <c r="L126" s="5" t="s">
        <v>506</v>
      </c>
      <c r="M126" s="2" t="s">
        <v>101</v>
      </c>
      <c r="N126" s="47" t="s">
        <v>914</v>
      </c>
      <c r="O126" s="2" t="s">
        <v>487</v>
      </c>
      <c r="P126" s="47" t="s">
        <v>889</v>
      </c>
      <c r="Q126" s="26" t="s">
        <v>93</v>
      </c>
      <c r="R126" s="26">
        <v>3.17</v>
      </c>
      <c r="S126" s="1">
        <v>0.27</v>
      </c>
      <c r="T126" s="33">
        <v>1.1599999999999999</v>
      </c>
      <c r="U126" s="33">
        <v>0.12</v>
      </c>
      <c r="V126" s="1">
        <v>7.3</v>
      </c>
      <c r="W126" s="2">
        <v>4.5</v>
      </c>
      <c r="X126" s="55">
        <f>W126*1.71*10</f>
        <v>76.95</v>
      </c>
      <c r="Y126" s="2" t="s">
        <v>101</v>
      </c>
      <c r="AA126" s="2" t="s">
        <v>517</v>
      </c>
      <c r="AB126" s="2" t="s">
        <v>527</v>
      </c>
      <c r="AC126" s="2" t="s">
        <v>895</v>
      </c>
      <c r="AD126" s="2" t="s">
        <v>521</v>
      </c>
      <c r="AE126" s="47" t="s">
        <v>940</v>
      </c>
      <c r="AF126" s="2" t="s">
        <v>524</v>
      </c>
      <c r="AG126" s="47" t="s">
        <v>936</v>
      </c>
      <c r="AH126" s="2" t="s">
        <v>101</v>
      </c>
      <c r="AI126" s="47"/>
      <c r="AK126" s="2" t="s">
        <v>101</v>
      </c>
      <c r="AL126" s="2" t="s">
        <v>101</v>
      </c>
      <c r="AM126" s="34">
        <v>0.32</v>
      </c>
      <c r="AN126" s="1" t="s">
        <v>101</v>
      </c>
      <c r="AO126" s="36">
        <f t="shared" ref="AO126:AO127" si="33">5.21*AM126*10</f>
        <v>16.672000000000001</v>
      </c>
      <c r="AP126" s="1">
        <v>0.22</v>
      </c>
      <c r="AQ126" s="1" t="s">
        <v>101</v>
      </c>
      <c r="AR126" s="36">
        <f t="shared" ref="AR126:AR127" si="34">5.21*AP126*10</f>
        <v>11.462000000000002</v>
      </c>
      <c r="AS126" s="1" t="s">
        <v>101</v>
      </c>
      <c r="AT126" s="2">
        <f t="shared" si="32"/>
        <v>31.25</v>
      </c>
      <c r="AU126" s="47">
        <v>31.25</v>
      </c>
      <c r="AV126" s="1" t="s">
        <v>101</v>
      </c>
      <c r="AW126" s="2" t="s">
        <v>865</v>
      </c>
      <c r="AX126" s="1" t="s">
        <v>554</v>
      </c>
      <c r="AY126" s="1"/>
    </row>
    <row r="127" spans="1:51" s="2" customFormat="1" ht="27.75" customHeight="1" x14ac:dyDescent="0.35">
      <c r="A127" s="1">
        <v>32</v>
      </c>
      <c r="B127" s="2" t="s">
        <v>503</v>
      </c>
      <c r="C127" s="2" t="s">
        <v>504</v>
      </c>
      <c r="D127" s="2" t="s">
        <v>490</v>
      </c>
      <c r="E127" s="28" t="s">
        <v>875</v>
      </c>
      <c r="F127" s="2" t="s">
        <v>513</v>
      </c>
      <c r="G127" s="2" t="s">
        <v>510</v>
      </c>
      <c r="J127" s="2" t="s">
        <v>880</v>
      </c>
      <c r="K127" s="5" t="s">
        <v>505</v>
      </c>
      <c r="L127" s="5" t="s">
        <v>506</v>
      </c>
      <c r="M127" s="2" t="s">
        <v>101</v>
      </c>
      <c r="N127" s="47" t="s">
        <v>914</v>
      </c>
      <c r="O127" s="2" t="s">
        <v>487</v>
      </c>
      <c r="P127" s="47" t="s">
        <v>889</v>
      </c>
      <c r="Q127" s="26" t="s">
        <v>93</v>
      </c>
      <c r="R127" s="26">
        <v>3.17</v>
      </c>
      <c r="S127" s="1">
        <v>0.27</v>
      </c>
      <c r="T127" s="33">
        <v>1.1599999999999999</v>
      </c>
      <c r="U127" s="33">
        <v>0.12</v>
      </c>
      <c r="V127" s="1">
        <v>7.3</v>
      </c>
      <c r="W127" s="2">
        <v>4.5</v>
      </c>
      <c r="X127" s="55">
        <f>W127*1.71*10</f>
        <v>76.95</v>
      </c>
      <c r="Y127" s="2" t="s">
        <v>101</v>
      </c>
      <c r="AA127" s="2" t="s">
        <v>517</v>
      </c>
      <c r="AB127" s="2" t="s">
        <v>527</v>
      </c>
      <c r="AC127" s="2" t="s">
        <v>895</v>
      </c>
      <c r="AD127" s="2" t="s">
        <v>521</v>
      </c>
      <c r="AE127" s="47" t="s">
        <v>940</v>
      </c>
      <c r="AF127" s="2" t="s">
        <v>524</v>
      </c>
      <c r="AG127" s="47" t="s">
        <v>936</v>
      </c>
      <c r="AH127" s="2" t="s">
        <v>101</v>
      </c>
      <c r="AI127" s="47"/>
      <c r="AK127" s="2" t="s">
        <v>101</v>
      </c>
      <c r="AL127" s="2" t="s">
        <v>101</v>
      </c>
      <c r="AM127" s="34">
        <v>0.35</v>
      </c>
      <c r="AN127" s="1" t="s">
        <v>101</v>
      </c>
      <c r="AO127" s="36">
        <f t="shared" si="33"/>
        <v>18.234999999999999</v>
      </c>
      <c r="AP127" s="1">
        <v>0.31</v>
      </c>
      <c r="AQ127" s="1" t="s">
        <v>101</v>
      </c>
      <c r="AR127" s="36">
        <f t="shared" si="34"/>
        <v>16.151</v>
      </c>
      <c r="AS127" s="1" t="s">
        <v>101</v>
      </c>
      <c r="AT127" s="2">
        <f t="shared" si="32"/>
        <v>11.428571428571423</v>
      </c>
      <c r="AU127" s="47">
        <v>11.428571428571423</v>
      </c>
      <c r="AV127" s="1" t="s">
        <v>101</v>
      </c>
      <c r="AW127" s="2" t="s">
        <v>865</v>
      </c>
      <c r="AX127" s="1" t="s">
        <v>526</v>
      </c>
      <c r="AY127" s="1"/>
    </row>
    <row r="128" spans="1:51" s="2" customFormat="1" ht="27.75" customHeight="1" x14ac:dyDescent="0.35">
      <c r="A128" s="1">
        <v>32</v>
      </c>
      <c r="B128" s="2" t="s">
        <v>503</v>
      </c>
      <c r="C128" s="2" t="s">
        <v>504</v>
      </c>
      <c r="D128" s="2" t="s">
        <v>490</v>
      </c>
      <c r="E128" s="28" t="s">
        <v>875</v>
      </c>
      <c r="F128" s="2" t="s">
        <v>514</v>
      </c>
      <c r="G128" s="2" t="s">
        <v>509</v>
      </c>
      <c r="J128" s="2" t="s">
        <v>881</v>
      </c>
      <c r="K128" s="5" t="s">
        <v>505</v>
      </c>
      <c r="L128" s="5" t="s">
        <v>506</v>
      </c>
      <c r="M128" s="2" t="s">
        <v>497</v>
      </c>
      <c r="N128" s="47" t="s">
        <v>886</v>
      </c>
      <c r="O128" s="2" t="s">
        <v>445</v>
      </c>
      <c r="P128" s="47" t="s">
        <v>534</v>
      </c>
      <c r="Q128" s="26" t="s">
        <v>93</v>
      </c>
      <c r="R128" s="26">
        <v>8.6300000000000008</v>
      </c>
      <c r="S128" s="1">
        <v>0.02</v>
      </c>
      <c r="T128" s="33">
        <v>2.72</v>
      </c>
      <c r="U128" s="33">
        <v>0.01</v>
      </c>
      <c r="V128" s="1">
        <v>6.83</v>
      </c>
      <c r="W128" s="2">
        <v>3.5</v>
      </c>
      <c r="X128" s="55">
        <f>W128*4.26*10</f>
        <v>149.1</v>
      </c>
      <c r="Y128" s="2" t="s">
        <v>101</v>
      </c>
      <c r="AA128" s="2" t="s">
        <v>517</v>
      </c>
      <c r="AB128" s="2" t="s">
        <v>527</v>
      </c>
      <c r="AC128" s="2" t="s">
        <v>895</v>
      </c>
      <c r="AD128" s="2" t="s">
        <v>521</v>
      </c>
      <c r="AE128" s="47" t="s">
        <v>940</v>
      </c>
      <c r="AF128" s="2" t="s">
        <v>524</v>
      </c>
      <c r="AG128" s="47" t="s">
        <v>936</v>
      </c>
      <c r="AH128" s="2" t="s">
        <v>101</v>
      </c>
      <c r="AI128" s="47"/>
      <c r="AK128" s="2" t="s">
        <v>101</v>
      </c>
      <c r="AL128" s="2" t="s">
        <v>101</v>
      </c>
      <c r="AM128" s="1">
        <v>0.3</v>
      </c>
      <c r="AN128" s="1" t="s">
        <v>101</v>
      </c>
      <c r="AO128" s="36">
        <f>9.51*AM128*10</f>
        <v>28.529999999999998</v>
      </c>
      <c r="AP128" s="1">
        <v>0.28000000000000003</v>
      </c>
      <c r="AQ128" s="1" t="s">
        <v>101</v>
      </c>
      <c r="AR128" s="36">
        <f>9.51*AP128*10</f>
        <v>26.628000000000004</v>
      </c>
      <c r="AS128" s="1" t="s">
        <v>101</v>
      </c>
      <c r="AT128" s="2">
        <f t="shared" si="32"/>
        <v>6.6666666666666536</v>
      </c>
      <c r="AU128" s="47">
        <v>6.6666666666666536</v>
      </c>
      <c r="AV128" s="1" t="s">
        <v>101</v>
      </c>
      <c r="AW128" s="2" t="s">
        <v>865</v>
      </c>
      <c r="AX128" s="1"/>
      <c r="AY128" s="1"/>
    </row>
    <row r="129" spans="1:51" s="2" customFormat="1" ht="27.75" customHeight="1" x14ac:dyDescent="0.35">
      <c r="A129" s="1">
        <v>32</v>
      </c>
      <c r="B129" s="2" t="s">
        <v>503</v>
      </c>
      <c r="C129" s="2" t="s">
        <v>504</v>
      </c>
      <c r="D129" s="2" t="s">
        <v>490</v>
      </c>
      <c r="E129" s="28" t="s">
        <v>875</v>
      </c>
      <c r="F129" s="2" t="s">
        <v>514</v>
      </c>
      <c r="G129" s="2" t="s">
        <v>509</v>
      </c>
      <c r="J129" s="2" t="s">
        <v>881</v>
      </c>
      <c r="K129" s="5" t="s">
        <v>505</v>
      </c>
      <c r="L129" s="5" t="s">
        <v>506</v>
      </c>
      <c r="M129" s="2" t="s">
        <v>497</v>
      </c>
      <c r="N129" s="47" t="s">
        <v>886</v>
      </c>
      <c r="O129" s="2" t="s">
        <v>445</v>
      </c>
      <c r="P129" s="47" t="s">
        <v>534</v>
      </c>
      <c r="Q129" s="26" t="s">
        <v>93</v>
      </c>
      <c r="R129" s="26">
        <v>8.6300000000000008</v>
      </c>
      <c r="S129" s="1">
        <v>0.02</v>
      </c>
      <c r="T129" s="33">
        <v>2.72</v>
      </c>
      <c r="U129" s="33">
        <v>0.01</v>
      </c>
      <c r="V129" s="1">
        <v>6.83</v>
      </c>
      <c r="W129" s="2">
        <v>3.5</v>
      </c>
      <c r="X129" s="55">
        <f t="shared" ref="X129:X130" si="35">W129*4.26*10</f>
        <v>149.1</v>
      </c>
      <c r="Y129" s="2" t="s">
        <v>101</v>
      </c>
      <c r="AA129" s="2" t="s">
        <v>517</v>
      </c>
      <c r="AB129" s="2" t="s">
        <v>527</v>
      </c>
      <c r="AC129" s="2" t="s">
        <v>895</v>
      </c>
      <c r="AD129" s="2" t="s">
        <v>521</v>
      </c>
      <c r="AE129" s="47" t="s">
        <v>940</v>
      </c>
      <c r="AF129" s="2" t="s">
        <v>525</v>
      </c>
      <c r="AG129" s="47" t="s">
        <v>936</v>
      </c>
      <c r="AH129" s="2" t="s">
        <v>101</v>
      </c>
      <c r="AI129" s="47"/>
      <c r="AK129" s="2" t="s">
        <v>101</v>
      </c>
      <c r="AL129" s="2" t="s">
        <v>101</v>
      </c>
      <c r="AM129" s="1">
        <v>0.44</v>
      </c>
      <c r="AN129" s="1" t="s">
        <v>101</v>
      </c>
      <c r="AO129" s="36">
        <f t="shared" ref="AO129" si="36">9.51*AM129*10</f>
        <v>41.844000000000001</v>
      </c>
      <c r="AP129" s="1">
        <v>0.28000000000000003</v>
      </c>
      <c r="AQ129" s="1" t="s">
        <v>101</v>
      </c>
      <c r="AR129" s="36">
        <f t="shared" ref="AR129" si="37">9.51*AP129*10</f>
        <v>26.628000000000004</v>
      </c>
      <c r="AS129" s="1" t="s">
        <v>101</v>
      </c>
      <c r="AT129" s="2">
        <f t="shared" si="32"/>
        <v>36.36363636363636</v>
      </c>
      <c r="AU129" s="47">
        <v>36.36363636363636</v>
      </c>
      <c r="AV129" s="1" t="s">
        <v>101</v>
      </c>
      <c r="AW129" s="2" t="s">
        <v>865</v>
      </c>
      <c r="AX129" s="1"/>
      <c r="AY129" s="1"/>
    </row>
    <row r="130" spans="1:51" s="2" customFormat="1" ht="27.75" customHeight="1" x14ac:dyDescent="0.35">
      <c r="A130" s="1">
        <v>32</v>
      </c>
      <c r="B130" s="2" t="s">
        <v>503</v>
      </c>
      <c r="C130" s="2" t="s">
        <v>504</v>
      </c>
      <c r="D130" s="2" t="s">
        <v>490</v>
      </c>
      <c r="E130" s="28" t="s">
        <v>875</v>
      </c>
      <c r="F130" s="2" t="s">
        <v>514</v>
      </c>
      <c r="G130" s="2" t="s">
        <v>509</v>
      </c>
      <c r="J130" s="2" t="s">
        <v>881</v>
      </c>
      <c r="K130" s="5" t="s">
        <v>505</v>
      </c>
      <c r="L130" s="5" t="s">
        <v>506</v>
      </c>
      <c r="M130" s="2" t="s">
        <v>497</v>
      </c>
      <c r="N130" s="47" t="s">
        <v>886</v>
      </c>
      <c r="O130" s="2" t="s">
        <v>445</v>
      </c>
      <c r="P130" s="47" t="s">
        <v>534</v>
      </c>
      <c r="Q130" s="26" t="s">
        <v>93</v>
      </c>
      <c r="R130" s="26">
        <v>8.6300000000000008</v>
      </c>
      <c r="S130" s="1">
        <v>0.02</v>
      </c>
      <c r="T130" s="33">
        <v>2.72</v>
      </c>
      <c r="U130" s="33">
        <v>0.01</v>
      </c>
      <c r="V130" s="1">
        <v>6.83</v>
      </c>
      <c r="W130" s="2">
        <v>3.5</v>
      </c>
      <c r="X130" s="55">
        <f t="shared" si="35"/>
        <v>149.1</v>
      </c>
      <c r="Y130" s="2" t="s">
        <v>101</v>
      </c>
      <c r="AA130" s="2" t="s">
        <v>517</v>
      </c>
      <c r="AB130" s="2" t="s">
        <v>527</v>
      </c>
      <c r="AC130" s="2" t="s">
        <v>895</v>
      </c>
      <c r="AD130" s="2" t="s">
        <v>524</v>
      </c>
      <c r="AE130" s="47" t="s">
        <v>936</v>
      </c>
      <c r="AF130" s="2" t="s">
        <v>525</v>
      </c>
      <c r="AG130" s="47" t="s">
        <v>936</v>
      </c>
      <c r="AH130" s="2" t="s">
        <v>101</v>
      </c>
      <c r="AI130" s="47"/>
      <c r="AK130" s="2" t="s">
        <v>101</v>
      </c>
      <c r="AL130" s="2" t="s">
        <v>101</v>
      </c>
      <c r="AM130" s="1">
        <v>0.44</v>
      </c>
      <c r="AN130" s="1" t="s">
        <v>101</v>
      </c>
      <c r="AO130" s="36">
        <f>9.51*AP130*10</f>
        <v>28.529999999999998</v>
      </c>
      <c r="AP130" s="1">
        <v>0.3</v>
      </c>
      <c r="AQ130" s="1" t="s">
        <v>101</v>
      </c>
      <c r="AR130" s="36">
        <f>9.51*AM130*10</f>
        <v>41.844000000000001</v>
      </c>
      <c r="AS130" s="1" t="s">
        <v>101</v>
      </c>
      <c r="AT130" s="2">
        <f t="shared" si="32"/>
        <v>31.818181818181824</v>
      </c>
      <c r="AU130" s="47">
        <v>31.818181818181824</v>
      </c>
      <c r="AV130" s="1" t="s">
        <v>101</v>
      </c>
      <c r="AW130" s="2" t="s">
        <v>865</v>
      </c>
      <c r="AX130" s="1"/>
      <c r="AY130" s="36"/>
    </row>
    <row r="131" spans="1:51" s="2" customFormat="1" ht="27.75" customHeight="1" x14ac:dyDescent="0.35">
      <c r="A131" s="1">
        <v>32</v>
      </c>
      <c r="B131" s="2" t="s">
        <v>503</v>
      </c>
      <c r="C131" s="2" t="s">
        <v>504</v>
      </c>
      <c r="D131" s="2" t="s">
        <v>490</v>
      </c>
      <c r="E131" s="28" t="s">
        <v>875</v>
      </c>
      <c r="F131" s="2" t="s">
        <v>515</v>
      </c>
      <c r="G131" s="2" t="s">
        <v>509</v>
      </c>
      <c r="J131" s="2" t="s">
        <v>881</v>
      </c>
      <c r="K131" s="5" t="s">
        <v>505</v>
      </c>
      <c r="L131" s="5" t="s">
        <v>506</v>
      </c>
      <c r="M131" s="2" t="s">
        <v>497</v>
      </c>
      <c r="N131" s="47" t="s">
        <v>886</v>
      </c>
      <c r="O131" s="2" t="s">
        <v>445</v>
      </c>
      <c r="P131" s="47" t="s">
        <v>534</v>
      </c>
      <c r="Q131" s="26" t="s">
        <v>93</v>
      </c>
      <c r="R131" s="26">
        <v>6.76</v>
      </c>
      <c r="S131" s="1">
        <v>0.01</v>
      </c>
      <c r="T131" s="33">
        <v>3.5</v>
      </c>
      <c r="U131" s="33">
        <v>0.14000000000000001</v>
      </c>
      <c r="V131" s="1">
        <v>7.37</v>
      </c>
      <c r="W131" s="2">
        <v>4.5</v>
      </c>
      <c r="X131" s="55">
        <f>W131*3.05*10</f>
        <v>137.25</v>
      </c>
      <c r="Y131" s="2" t="s">
        <v>101</v>
      </c>
      <c r="AA131" s="2" t="s">
        <v>517</v>
      </c>
      <c r="AB131" s="2" t="s">
        <v>527</v>
      </c>
      <c r="AC131" s="2" t="s">
        <v>895</v>
      </c>
      <c r="AD131" s="2" t="s">
        <v>524</v>
      </c>
      <c r="AE131" s="47" t="s">
        <v>936</v>
      </c>
      <c r="AF131" s="2" t="s">
        <v>525</v>
      </c>
      <c r="AG131" s="47" t="s">
        <v>936</v>
      </c>
      <c r="AH131" s="2" t="s">
        <v>101</v>
      </c>
      <c r="AI131" s="47"/>
      <c r="AK131" s="2" t="s">
        <v>101</v>
      </c>
      <c r="AL131" s="2" t="s">
        <v>101</v>
      </c>
      <c r="AM131" s="1">
        <v>0.08</v>
      </c>
      <c r="AN131" s="1" t="s">
        <v>101</v>
      </c>
      <c r="AO131" s="36">
        <f>15.77*AP131*10</f>
        <v>9.4619999999999997</v>
      </c>
      <c r="AP131" s="1">
        <v>0.06</v>
      </c>
      <c r="AQ131" s="1" t="s">
        <v>101</v>
      </c>
      <c r="AR131" s="36">
        <f>15.77*AM131*10</f>
        <v>12.616</v>
      </c>
      <c r="AS131" s="1" t="s">
        <v>101</v>
      </c>
      <c r="AT131" s="2">
        <f t="shared" si="32"/>
        <v>25.000000000000007</v>
      </c>
      <c r="AU131" s="47">
        <v>25.000000000000007</v>
      </c>
      <c r="AV131" s="1" t="s">
        <v>101</v>
      </c>
      <c r="AW131" s="2" t="s">
        <v>865</v>
      </c>
      <c r="AX131" s="1"/>
      <c r="AY131" s="36"/>
    </row>
    <row r="132" spans="1:51" s="11" customFormat="1" ht="27.75" customHeight="1" thickBot="1" x14ac:dyDescent="0.4">
      <c r="A132" s="8">
        <v>32</v>
      </c>
      <c r="B132" s="11" t="s">
        <v>503</v>
      </c>
      <c r="C132" s="11" t="s">
        <v>504</v>
      </c>
      <c r="D132" s="11" t="s">
        <v>490</v>
      </c>
      <c r="E132" s="28" t="s">
        <v>875</v>
      </c>
      <c r="F132" s="11" t="s">
        <v>516</v>
      </c>
      <c r="G132" s="11" t="s">
        <v>509</v>
      </c>
      <c r="J132" s="11" t="s">
        <v>881</v>
      </c>
      <c r="K132" s="9" t="s">
        <v>505</v>
      </c>
      <c r="L132" s="9" t="s">
        <v>506</v>
      </c>
      <c r="M132" s="11" t="s">
        <v>497</v>
      </c>
      <c r="N132" s="47" t="s">
        <v>886</v>
      </c>
      <c r="O132" s="11" t="s">
        <v>445</v>
      </c>
      <c r="P132" s="47" t="s">
        <v>534</v>
      </c>
      <c r="Q132" s="27" t="s">
        <v>93</v>
      </c>
      <c r="R132" s="27">
        <v>6.78</v>
      </c>
      <c r="S132" s="8">
        <v>7.0000000000000007E-2</v>
      </c>
      <c r="T132" s="35">
        <v>3.54</v>
      </c>
      <c r="U132" s="35">
        <v>0.19</v>
      </c>
      <c r="V132" s="8">
        <v>7.33</v>
      </c>
      <c r="W132" s="11">
        <v>4.5</v>
      </c>
      <c r="X132" s="55">
        <f>W132*3.02*10</f>
        <v>135.9</v>
      </c>
      <c r="Y132" s="11" t="s">
        <v>101</v>
      </c>
      <c r="AA132" s="11" t="s">
        <v>517</v>
      </c>
      <c r="AB132" s="11" t="s">
        <v>527</v>
      </c>
      <c r="AC132" s="2" t="s">
        <v>895</v>
      </c>
      <c r="AD132" s="2" t="s">
        <v>524</v>
      </c>
      <c r="AE132" s="49" t="s">
        <v>936</v>
      </c>
      <c r="AF132" s="11" t="s">
        <v>525</v>
      </c>
      <c r="AG132" s="47" t="s">
        <v>936</v>
      </c>
      <c r="AH132" s="11" t="s">
        <v>101</v>
      </c>
      <c r="AI132" s="49"/>
      <c r="AK132" s="11" t="s">
        <v>101</v>
      </c>
      <c r="AL132" s="11" t="s">
        <v>101</v>
      </c>
      <c r="AM132" s="8">
        <v>0.1</v>
      </c>
      <c r="AN132" s="8" t="s">
        <v>101</v>
      </c>
      <c r="AO132" s="37">
        <f>15.93*AP132*10</f>
        <v>11.151</v>
      </c>
      <c r="AP132" s="8">
        <v>7.0000000000000007E-2</v>
      </c>
      <c r="AQ132" s="8" t="s">
        <v>101</v>
      </c>
      <c r="AR132" s="36">
        <f>15.93*AM132*10</f>
        <v>15.93</v>
      </c>
      <c r="AS132" s="8" t="s">
        <v>101</v>
      </c>
      <c r="AT132" s="11">
        <f t="shared" si="32"/>
        <v>30</v>
      </c>
      <c r="AU132" s="49">
        <v>30</v>
      </c>
      <c r="AV132" s="8" t="s">
        <v>101</v>
      </c>
      <c r="AW132" s="2" t="s">
        <v>865</v>
      </c>
      <c r="AX132" s="8"/>
      <c r="AY132" s="36"/>
    </row>
    <row r="133" spans="1:51" s="2" customFormat="1" ht="27.75" customHeight="1" thickTop="1" x14ac:dyDescent="0.35">
      <c r="A133" s="1">
        <v>34</v>
      </c>
      <c r="B133" s="2" t="s">
        <v>529</v>
      </c>
      <c r="C133" s="2" t="s">
        <v>528</v>
      </c>
      <c r="D133" s="2" t="s">
        <v>531</v>
      </c>
      <c r="E133" s="28" t="s">
        <v>876</v>
      </c>
      <c r="F133" s="2" t="s">
        <v>491</v>
      </c>
      <c r="G133" s="2" t="s">
        <v>536</v>
      </c>
      <c r="H133" s="2">
        <v>110</v>
      </c>
      <c r="I133" s="2">
        <v>430</v>
      </c>
      <c r="J133" s="2" t="s">
        <v>881</v>
      </c>
      <c r="K133" s="5" t="s">
        <v>101</v>
      </c>
      <c r="L133" s="5" t="s">
        <v>101</v>
      </c>
      <c r="M133" s="2" t="s">
        <v>530</v>
      </c>
      <c r="N133" s="47" t="s">
        <v>885</v>
      </c>
      <c r="O133" s="2" t="s">
        <v>541</v>
      </c>
      <c r="P133" s="47" t="s">
        <v>893</v>
      </c>
      <c r="Q133" s="26" t="s">
        <v>93</v>
      </c>
      <c r="R133" s="26">
        <v>4.3600000000000003</v>
      </c>
      <c r="S133" s="1">
        <v>0.03</v>
      </c>
      <c r="T133" s="1">
        <v>3.3</v>
      </c>
      <c r="U133" s="1" t="s">
        <v>540</v>
      </c>
      <c r="V133" s="1">
        <v>7.67</v>
      </c>
      <c r="W133" s="2">
        <v>35</v>
      </c>
      <c r="X133" s="57">
        <f>W133*4.69</f>
        <v>164.15</v>
      </c>
      <c r="Y133" s="15" t="s">
        <v>101</v>
      </c>
      <c r="Z133" s="15"/>
      <c r="AA133" s="2" t="s">
        <v>517</v>
      </c>
      <c r="AB133" s="2" t="s">
        <v>532</v>
      </c>
      <c r="AC133" s="2" t="s">
        <v>895</v>
      </c>
      <c r="AD133" s="2" t="s">
        <v>535</v>
      </c>
      <c r="AE133" s="47" t="s">
        <v>936</v>
      </c>
      <c r="AF133" s="2" t="s">
        <v>533</v>
      </c>
      <c r="AG133" s="47" t="s">
        <v>936</v>
      </c>
      <c r="AH133" s="2" t="s">
        <v>538</v>
      </c>
      <c r="AI133" s="47" t="s">
        <v>538</v>
      </c>
      <c r="AK133" s="1">
        <v>7.67</v>
      </c>
      <c r="AL133" s="1">
        <v>4.3600000000000003</v>
      </c>
      <c r="AM133" s="1">
        <v>40.32</v>
      </c>
      <c r="AN133" s="1" t="s">
        <v>101</v>
      </c>
      <c r="AO133" s="36">
        <v>27.4176</v>
      </c>
      <c r="AP133" s="1">
        <v>40</v>
      </c>
      <c r="AQ133" s="1" t="s">
        <v>101</v>
      </c>
      <c r="AR133" s="36">
        <f>11.6*AP133/10</f>
        <v>46.4</v>
      </c>
      <c r="AS133" s="1" t="s">
        <v>101</v>
      </c>
      <c r="AT133" s="2">
        <f>((AM133-AP133)/AM133)*100</f>
        <v>0.79365079365079427</v>
      </c>
      <c r="AU133" s="47">
        <v>0.79365079365079427</v>
      </c>
      <c r="AV133" s="1" t="s">
        <v>101</v>
      </c>
      <c r="AW133" s="2" t="s">
        <v>864</v>
      </c>
      <c r="AX133" s="1"/>
      <c r="AY133" s="3"/>
    </row>
    <row r="134" spans="1:51" s="2" customFormat="1" ht="27.75" customHeight="1" x14ac:dyDescent="0.35">
      <c r="A134" s="1">
        <v>34</v>
      </c>
      <c r="B134" s="2" t="s">
        <v>529</v>
      </c>
      <c r="C134" s="2" t="s">
        <v>528</v>
      </c>
      <c r="D134" s="2" t="s">
        <v>531</v>
      </c>
      <c r="E134" s="28" t="s">
        <v>876</v>
      </c>
      <c r="F134" s="2" t="s">
        <v>491</v>
      </c>
      <c r="G134" s="2" t="s">
        <v>536</v>
      </c>
      <c r="H134" s="2">
        <v>110</v>
      </c>
      <c r="I134" s="2">
        <v>430</v>
      </c>
      <c r="J134" s="2" t="s">
        <v>881</v>
      </c>
      <c r="K134" s="5" t="s">
        <v>101</v>
      </c>
      <c r="L134" s="5" t="s">
        <v>101</v>
      </c>
      <c r="M134" s="2" t="s">
        <v>530</v>
      </c>
      <c r="N134" s="47" t="s">
        <v>885</v>
      </c>
      <c r="O134" s="2" t="s">
        <v>534</v>
      </c>
      <c r="P134" s="47" t="s">
        <v>534</v>
      </c>
      <c r="Q134" s="26" t="s">
        <v>93</v>
      </c>
      <c r="R134" s="53">
        <v>8.69</v>
      </c>
      <c r="S134" s="36" t="s">
        <v>540</v>
      </c>
      <c r="T134" s="1">
        <v>1.89</v>
      </c>
      <c r="U134" s="1">
        <v>0.06</v>
      </c>
      <c r="V134" s="1">
        <v>7.07</v>
      </c>
      <c r="W134" s="2">
        <v>35</v>
      </c>
      <c r="X134" s="55">
        <f>W134*3.2</f>
        <v>112</v>
      </c>
      <c r="Y134" s="15" t="s">
        <v>101</v>
      </c>
      <c r="Z134" s="15"/>
      <c r="AA134" s="2" t="s">
        <v>517</v>
      </c>
      <c r="AB134" s="2" t="s">
        <v>532</v>
      </c>
      <c r="AC134" s="2" t="s">
        <v>895</v>
      </c>
      <c r="AD134" s="2" t="s">
        <v>533</v>
      </c>
      <c r="AE134" s="47" t="s">
        <v>936</v>
      </c>
      <c r="AF134" s="2" t="s">
        <v>533</v>
      </c>
      <c r="AG134" s="47" t="s">
        <v>936</v>
      </c>
      <c r="AH134" s="2" t="s">
        <v>539</v>
      </c>
      <c r="AI134" s="47" t="s">
        <v>943</v>
      </c>
      <c r="AK134" s="1">
        <v>7.54</v>
      </c>
      <c r="AL134" s="1">
        <v>4.3600000000000003</v>
      </c>
      <c r="AM134" s="1">
        <v>40.32</v>
      </c>
      <c r="AN134" s="1" t="s">
        <v>101</v>
      </c>
      <c r="AO134" s="36">
        <v>27.4176</v>
      </c>
      <c r="AP134" s="1">
        <v>31</v>
      </c>
      <c r="AQ134" s="1" t="s">
        <v>101</v>
      </c>
      <c r="AR134" s="36">
        <f>6.6*AP134/10</f>
        <v>20.46</v>
      </c>
      <c r="AS134" s="1" t="s">
        <v>101</v>
      </c>
      <c r="AT134" s="2">
        <f t="shared" ref="AT134:AT136" si="38">((AM134-AP134)/AM134)*100</f>
        <v>23.115079365079367</v>
      </c>
      <c r="AU134" s="47">
        <v>23.115079365079367</v>
      </c>
      <c r="AV134" s="1" t="s">
        <v>101</v>
      </c>
      <c r="AW134" s="2" t="s">
        <v>864</v>
      </c>
      <c r="AX134" s="1"/>
      <c r="AY134" s="1"/>
    </row>
    <row r="135" spans="1:51" s="2" customFormat="1" ht="27.75" customHeight="1" x14ac:dyDescent="0.35">
      <c r="A135" s="1">
        <v>34</v>
      </c>
      <c r="B135" s="2" t="s">
        <v>529</v>
      </c>
      <c r="C135" s="2" t="s">
        <v>528</v>
      </c>
      <c r="D135" s="2" t="s">
        <v>531</v>
      </c>
      <c r="E135" s="28" t="s">
        <v>876</v>
      </c>
      <c r="F135" s="2" t="s">
        <v>492</v>
      </c>
      <c r="G135" s="2" t="s">
        <v>537</v>
      </c>
      <c r="H135" s="2">
        <v>710</v>
      </c>
      <c r="I135" s="2">
        <v>14</v>
      </c>
      <c r="J135" s="2" t="s">
        <v>880</v>
      </c>
      <c r="K135" s="5" t="s">
        <v>101</v>
      </c>
      <c r="L135" s="5" t="s">
        <v>101</v>
      </c>
      <c r="M135" s="2" t="s">
        <v>530</v>
      </c>
      <c r="N135" s="47" t="s">
        <v>885</v>
      </c>
      <c r="O135" s="2" t="s">
        <v>541</v>
      </c>
      <c r="P135" s="47" t="s">
        <v>893</v>
      </c>
      <c r="Q135" s="26" t="s">
        <v>93</v>
      </c>
      <c r="R135" s="26">
        <v>4.66</v>
      </c>
      <c r="S135" s="1">
        <v>0.03</v>
      </c>
      <c r="T135" s="1">
        <v>3.34</v>
      </c>
      <c r="U135" s="1" t="s">
        <v>540</v>
      </c>
      <c r="V135" s="1">
        <v>7.82</v>
      </c>
      <c r="W135" s="2">
        <v>35</v>
      </c>
      <c r="X135" s="55">
        <f>W135*4.77</f>
        <v>166.95</v>
      </c>
      <c r="Y135" s="15" t="s">
        <v>101</v>
      </c>
      <c r="Z135" s="15"/>
      <c r="AA135" s="2" t="s">
        <v>517</v>
      </c>
      <c r="AB135" s="2" t="s">
        <v>532</v>
      </c>
      <c r="AC135" s="2" t="s">
        <v>895</v>
      </c>
      <c r="AD135" s="2" t="s">
        <v>533</v>
      </c>
      <c r="AE135" s="47" t="s">
        <v>936</v>
      </c>
      <c r="AF135" s="2" t="s">
        <v>533</v>
      </c>
      <c r="AG135" s="47" t="s">
        <v>936</v>
      </c>
      <c r="AH135" s="2" t="s">
        <v>538</v>
      </c>
      <c r="AI135" s="47" t="s">
        <v>538</v>
      </c>
      <c r="AK135" s="1">
        <v>7.82</v>
      </c>
      <c r="AL135" s="1">
        <v>4.3600000000000003</v>
      </c>
      <c r="AM135" s="1">
        <v>42</v>
      </c>
      <c r="AN135" s="1" t="s">
        <v>101</v>
      </c>
      <c r="AO135" s="36">
        <f>6.7*AM135/10</f>
        <v>28.140000000000004</v>
      </c>
      <c r="AP135" s="1">
        <v>56.2</v>
      </c>
      <c r="AQ135" s="1" t="s">
        <v>101</v>
      </c>
      <c r="AR135" s="36">
        <f>11.7*AP135/10</f>
        <v>65.753999999999991</v>
      </c>
      <c r="AS135" s="1" t="s">
        <v>101</v>
      </c>
      <c r="AT135" s="2">
        <f>((AM135-AP135)/AM135)*100</f>
        <v>-33.809523809523817</v>
      </c>
      <c r="AU135" s="47">
        <v>-33.809523809523817</v>
      </c>
      <c r="AV135" s="1" t="s">
        <v>101</v>
      </c>
      <c r="AW135" s="2" t="s">
        <v>864</v>
      </c>
      <c r="AX135" s="1"/>
      <c r="AY135" s="1"/>
    </row>
    <row r="136" spans="1:51" s="2" customFormat="1" ht="27.75" customHeight="1" x14ac:dyDescent="0.35">
      <c r="A136" s="1">
        <v>34</v>
      </c>
      <c r="B136" s="2" t="s">
        <v>529</v>
      </c>
      <c r="C136" s="2" t="s">
        <v>528</v>
      </c>
      <c r="D136" s="2" t="s">
        <v>531</v>
      </c>
      <c r="E136" s="28" t="s">
        <v>876</v>
      </c>
      <c r="F136" s="2" t="s">
        <v>492</v>
      </c>
      <c r="G136" s="2" t="s">
        <v>537</v>
      </c>
      <c r="H136" s="2">
        <v>710</v>
      </c>
      <c r="I136" s="2">
        <v>14</v>
      </c>
      <c r="J136" s="2" t="s">
        <v>880</v>
      </c>
      <c r="K136" s="5" t="s">
        <v>101</v>
      </c>
      <c r="L136" s="5" t="s">
        <v>101</v>
      </c>
      <c r="M136" s="2" t="s">
        <v>530</v>
      </c>
      <c r="N136" s="47" t="s">
        <v>885</v>
      </c>
      <c r="O136" s="2" t="s">
        <v>534</v>
      </c>
      <c r="P136" s="47" t="s">
        <v>534</v>
      </c>
      <c r="Q136" s="26" t="s">
        <v>93</v>
      </c>
      <c r="R136" s="53">
        <v>8.51</v>
      </c>
      <c r="S136" s="36">
        <v>0.01</v>
      </c>
      <c r="T136" s="1">
        <v>1.92</v>
      </c>
      <c r="U136" s="1">
        <v>0.06</v>
      </c>
      <c r="V136" s="1">
        <v>6.7</v>
      </c>
      <c r="W136" s="2">
        <v>35</v>
      </c>
      <c r="X136" s="55">
        <f>W136*3.2</f>
        <v>112</v>
      </c>
      <c r="Y136" s="15" t="s">
        <v>101</v>
      </c>
      <c r="Z136" s="15"/>
      <c r="AA136" s="2" t="s">
        <v>517</v>
      </c>
      <c r="AB136" s="2" t="s">
        <v>532</v>
      </c>
      <c r="AC136" s="2" t="s">
        <v>895</v>
      </c>
      <c r="AD136" s="2" t="s">
        <v>533</v>
      </c>
      <c r="AE136" s="47" t="s">
        <v>936</v>
      </c>
      <c r="AF136" s="2" t="s">
        <v>533</v>
      </c>
      <c r="AG136" s="47" t="s">
        <v>936</v>
      </c>
      <c r="AH136" s="2" t="s">
        <v>539</v>
      </c>
      <c r="AI136" s="47" t="s">
        <v>943</v>
      </c>
      <c r="AK136" s="1">
        <v>7.57</v>
      </c>
      <c r="AL136" s="1">
        <v>4.32</v>
      </c>
      <c r="AM136" s="1">
        <v>42</v>
      </c>
      <c r="AN136" s="1" t="s">
        <v>101</v>
      </c>
      <c r="AO136" s="36">
        <f t="shared" ref="AO136" si="39">6.7*AM136/10</f>
        <v>28.140000000000004</v>
      </c>
      <c r="AP136" s="1">
        <v>52</v>
      </c>
      <c r="AQ136" s="1" t="s">
        <v>101</v>
      </c>
      <c r="AR136" s="36">
        <f>6.7*AP136/10</f>
        <v>34.840000000000003</v>
      </c>
      <c r="AS136" s="1" t="s">
        <v>101</v>
      </c>
      <c r="AT136" s="2">
        <f t="shared" si="38"/>
        <v>-23.809523809523807</v>
      </c>
      <c r="AU136" s="47">
        <v>-23.809523809523807</v>
      </c>
      <c r="AV136" s="1" t="s">
        <v>101</v>
      </c>
      <c r="AW136" s="2" t="s">
        <v>864</v>
      </c>
      <c r="AX136" s="1"/>
      <c r="AY136" s="1"/>
    </row>
    <row r="137" spans="1:51" s="2" customFormat="1" ht="27.75" customHeight="1" x14ac:dyDescent="0.35">
      <c r="A137" s="1">
        <v>35</v>
      </c>
      <c r="B137" s="2" t="s">
        <v>542</v>
      </c>
      <c r="C137" s="2" t="s">
        <v>543</v>
      </c>
      <c r="D137" s="2" t="s">
        <v>490</v>
      </c>
      <c r="E137" s="28" t="s">
        <v>875</v>
      </c>
      <c r="F137" s="2" t="s">
        <v>547</v>
      </c>
      <c r="G137" s="2" t="s">
        <v>545</v>
      </c>
      <c r="J137" s="2" t="s">
        <v>880</v>
      </c>
      <c r="K137" s="15">
        <v>44136</v>
      </c>
      <c r="L137" s="5" t="s">
        <v>546</v>
      </c>
      <c r="M137" s="2" t="s">
        <v>455</v>
      </c>
      <c r="N137" s="47" t="s">
        <v>886</v>
      </c>
      <c r="O137" s="2" t="s">
        <v>487</v>
      </c>
      <c r="P137" s="47" t="s">
        <v>889</v>
      </c>
      <c r="Q137" s="26" t="s">
        <v>93</v>
      </c>
      <c r="R137" s="26">
        <v>7.28</v>
      </c>
      <c r="S137" s="1">
        <v>0.02</v>
      </c>
      <c r="T137" s="1">
        <v>2.96</v>
      </c>
      <c r="U137" s="1">
        <v>0.17</v>
      </c>
      <c r="V137" s="1">
        <v>6.4</v>
      </c>
      <c r="W137" s="2">
        <v>35</v>
      </c>
      <c r="X137" s="55">
        <f>W137*4.35</f>
        <v>152.25</v>
      </c>
      <c r="Y137" s="2" t="s">
        <v>860</v>
      </c>
      <c r="AA137" s="2" t="s">
        <v>544</v>
      </c>
      <c r="AB137" s="2" t="s">
        <v>555</v>
      </c>
      <c r="AC137" s="2" t="s">
        <v>895</v>
      </c>
      <c r="AD137" s="2" t="s">
        <v>551</v>
      </c>
      <c r="AE137" s="47" t="s">
        <v>936</v>
      </c>
      <c r="AF137" s="2" t="s">
        <v>551</v>
      </c>
      <c r="AG137" s="47" t="s">
        <v>936</v>
      </c>
      <c r="AH137" s="2" t="s">
        <v>552</v>
      </c>
      <c r="AI137" s="47" t="s">
        <v>924</v>
      </c>
      <c r="AK137" s="1">
        <v>6.4</v>
      </c>
      <c r="AL137" s="1">
        <v>7.28</v>
      </c>
      <c r="AM137" s="1">
        <v>19.3</v>
      </c>
      <c r="AN137" s="1">
        <v>1.8</v>
      </c>
      <c r="AO137" s="1">
        <v>18.3736</v>
      </c>
      <c r="AP137" s="1">
        <v>12.6</v>
      </c>
      <c r="AQ137" s="1">
        <v>1.4</v>
      </c>
      <c r="AR137" s="1">
        <v>13.053599999999999</v>
      </c>
      <c r="AS137" s="1" t="s">
        <v>101</v>
      </c>
      <c r="AT137" s="2">
        <f t="shared" ref="AT137:AT144" si="40">((AM137-AP137)/AM137)*100</f>
        <v>34.715025906735761</v>
      </c>
      <c r="AU137" s="47">
        <v>34.715025906735761</v>
      </c>
      <c r="AV137" s="2" t="s">
        <v>101</v>
      </c>
      <c r="AW137" s="2" t="s">
        <v>861</v>
      </c>
      <c r="AX137" s="1"/>
      <c r="AY137" s="1"/>
    </row>
    <row r="138" spans="1:51" s="2" customFormat="1" ht="27.75" customHeight="1" x14ac:dyDescent="0.35">
      <c r="A138" s="1">
        <v>35</v>
      </c>
      <c r="B138" s="2" t="s">
        <v>542</v>
      </c>
      <c r="C138" s="2" t="s">
        <v>543</v>
      </c>
      <c r="D138" s="2" t="s">
        <v>490</v>
      </c>
      <c r="E138" s="28" t="s">
        <v>875</v>
      </c>
      <c r="F138" s="2" t="s">
        <v>547</v>
      </c>
      <c r="G138" s="2" t="s">
        <v>545</v>
      </c>
      <c r="J138" s="2" t="s">
        <v>880</v>
      </c>
      <c r="K138" s="15">
        <v>44136</v>
      </c>
      <c r="L138" s="5" t="s">
        <v>546</v>
      </c>
      <c r="M138" s="2" t="s">
        <v>455</v>
      </c>
      <c r="N138" s="47" t="s">
        <v>886</v>
      </c>
      <c r="O138" s="2" t="s">
        <v>487</v>
      </c>
      <c r="P138" s="47" t="s">
        <v>889</v>
      </c>
      <c r="Q138" s="26" t="s">
        <v>93</v>
      </c>
      <c r="R138" s="26">
        <v>7.85</v>
      </c>
      <c r="S138" s="1">
        <v>0.01</v>
      </c>
      <c r="T138" s="1">
        <v>2.78</v>
      </c>
      <c r="U138" s="1">
        <v>0.1</v>
      </c>
      <c r="V138" s="1">
        <v>5.9</v>
      </c>
      <c r="W138" s="2">
        <v>35</v>
      </c>
      <c r="X138" s="55">
        <f>W138*4.36</f>
        <v>152.60000000000002</v>
      </c>
      <c r="Y138" s="2" t="s">
        <v>860</v>
      </c>
      <c r="AA138" s="2" t="s">
        <v>544</v>
      </c>
      <c r="AB138" s="2" t="s">
        <v>555</v>
      </c>
      <c r="AC138" s="2" t="s">
        <v>895</v>
      </c>
      <c r="AD138" s="2" t="s">
        <v>551</v>
      </c>
      <c r="AE138" s="47" t="s">
        <v>936</v>
      </c>
      <c r="AF138" s="2" t="s">
        <v>551</v>
      </c>
      <c r="AG138" s="47" t="s">
        <v>936</v>
      </c>
      <c r="AH138" s="2" t="s">
        <v>553</v>
      </c>
      <c r="AI138" s="47" t="s">
        <v>924</v>
      </c>
      <c r="AK138" s="1">
        <v>5.9</v>
      </c>
      <c r="AL138" s="1">
        <v>7.85</v>
      </c>
      <c r="AM138" s="1">
        <v>19.3</v>
      </c>
      <c r="AN138" s="1">
        <v>1.8</v>
      </c>
      <c r="AO138" s="1">
        <v>18.3736</v>
      </c>
      <c r="AP138" s="1">
        <v>4.5999999999999996</v>
      </c>
      <c r="AQ138" s="1">
        <v>0.7</v>
      </c>
      <c r="AR138" s="1">
        <v>4.4757999999999996</v>
      </c>
      <c r="AS138" s="1" t="s">
        <v>101</v>
      </c>
      <c r="AT138" s="2">
        <f t="shared" si="40"/>
        <v>76.165803108808291</v>
      </c>
      <c r="AU138" s="47">
        <v>76.165803108808291</v>
      </c>
      <c r="AV138" s="2" t="s">
        <v>101</v>
      </c>
      <c r="AW138" s="2" t="s">
        <v>861</v>
      </c>
      <c r="AX138" s="1"/>
      <c r="AY138" s="1"/>
    </row>
    <row r="139" spans="1:51" s="2" customFormat="1" ht="27.75" customHeight="1" x14ac:dyDescent="0.35">
      <c r="A139" s="1">
        <v>35</v>
      </c>
      <c r="B139" s="2" t="s">
        <v>542</v>
      </c>
      <c r="C139" s="2" t="s">
        <v>543</v>
      </c>
      <c r="D139" s="2" t="s">
        <v>490</v>
      </c>
      <c r="E139" s="28" t="s">
        <v>875</v>
      </c>
      <c r="F139" s="2" t="s">
        <v>548</v>
      </c>
      <c r="G139" s="2" t="s">
        <v>545</v>
      </c>
      <c r="J139" s="2" t="s">
        <v>880</v>
      </c>
      <c r="K139" s="15">
        <v>44136</v>
      </c>
      <c r="L139" s="5" t="s">
        <v>546</v>
      </c>
      <c r="M139" s="2" t="s">
        <v>455</v>
      </c>
      <c r="N139" s="47" t="s">
        <v>886</v>
      </c>
      <c r="O139" s="2" t="s">
        <v>487</v>
      </c>
      <c r="P139" s="47" t="s">
        <v>889</v>
      </c>
      <c r="Q139" s="26" t="s">
        <v>93</v>
      </c>
      <c r="R139" s="26">
        <v>6.73</v>
      </c>
      <c r="S139" s="1">
        <v>0.03</v>
      </c>
      <c r="T139" s="1">
        <v>4.26</v>
      </c>
      <c r="U139" s="1">
        <v>0.2</v>
      </c>
      <c r="V139" s="1">
        <v>6.4</v>
      </c>
      <c r="W139" s="2">
        <v>35</v>
      </c>
      <c r="X139" s="55">
        <f>W139*4.93</f>
        <v>172.54999999999998</v>
      </c>
      <c r="Y139" s="2" t="s">
        <v>860</v>
      </c>
      <c r="AA139" s="2" t="s">
        <v>544</v>
      </c>
      <c r="AB139" s="2" t="s">
        <v>555</v>
      </c>
      <c r="AC139" s="2" t="s">
        <v>895</v>
      </c>
      <c r="AD139" s="2" t="s">
        <v>551</v>
      </c>
      <c r="AE139" s="47" t="s">
        <v>936</v>
      </c>
      <c r="AF139" s="2" t="s">
        <v>551</v>
      </c>
      <c r="AG139" s="47" t="s">
        <v>936</v>
      </c>
      <c r="AH139" s="2" t="s">
        <v>552</v>
      </c>
      <c r="AI139" s="47" t="s">
        <v>924</v>
      </c>
      <c r="AK139" s="1">
        <v>6.4</v>
      </c>
      <c r="AL139" s="1">
        <v>6.73</v>
      </c>
      <c r="AM139" s="1">
        <v>15.7</v>
      </c>
      <c r="AN139" s="1">
        <v>2</v>
      </c>
      <c r="AO139" s="1">
        <v>23.738399999999999</v>
      </c>
      <c r="AP139" s="1">
        <v>11.7</v>
      </c>
      <c r="AQ139" s="1">
        <v>0.6</v>
      </c>
      <c r="AR139" s="1">
        <v>17.444699999999997</v>
      </c>
      <c r="AS139" s="1" t="s">
        <v>101</v>
      </c>
      <c r="AT139" s="2">
        <f t="shared" si="40"/>
        <v>25.477707006369428</v>
      </c>
      <c r="AU139" s="47">
        <v>25.477707006369428</v>
      </c>
      <c r="AV139" s="2" t="s">
        <v>101</v>
      </c>
      <c r="AW139" s="2" t="s">
        <v>861</v>
      </c>
      <c r="AX139" s="1"/>
      <c r="AY139" s="1"/>
    </row>
    <row r="140" spans="1:51" s="2" customFormat="1" ht="27.75" customHeight="1" x14ac:dyDescent="0.35">
      <c r="A140" s="1">
        <v>35</v>
      </c>
      <c r="B140" s="2" t="s">
        <v>542</v>
      </c>
      <c r="C140" s="2" t="s">
        <v>543</v>
      </c>
      <c r="D140" s="2" t="s">
        <v>490</v>
      </c>
      <c r="E140" s="28" t="s">
        <v>875</v>
      </c>
      <c r="F140" s="2" t="s">
        <v>548</v>
      </c>
      <c r="G140" s="2" t="s">
        <v>545</v>
      </c>
      <c r="J140" s="2" t="s">
        <v>880</v>
      </c>
      <c r="K140" s="15">
        <v>44136</v>
      </c>
      <c r="L140" s="5" t="s">
        <v>546</v>
      </c>
      <c r="M140" s="2" t="s">
        <v>455</v>
      </c>
      <c r="N140" s="47" t="s">
        <v>886</v>
      </c>
      <c r="O140" s="2" t="s">
        <v>487</v>
      </c>
      <c r="P140" s="47" t="s">
        <v>889</v>
      </c>
      <c r="Q140" s="26" t="s">
        <v>93</v>
      </c>
      <c r="R140" s="26">
        <v>7.69</v>
      </c>
      <c r="S140" s="1">
        <v>0.05</v>
      </c>
      <c r="T140" s="1">
        <v>3.38</v>
      </c>
      <c r="U140" s="1">
        <v>0.15</v>
      </c>
      <c r="V140" s="1">
        <v>5.9</v>
      </c>
      <c r="W140" s="2">
        <v>35</v>
      </c>
      <c r="X140" s="55">
        <f>W140*4.12</f>
        <v>144.20000000000002</v>
      </c>
      <c r="Y140" s="2" t="s">
        <v>860</v>
      </c>
      <c r="AA140" s="2" t="s">
        <v>544</v>
      </c>
      <c r="AB140" s="2" t="s">
        <v>555</v>
      </c>
      <c r="AC140" s="2" t="s">
        <v>895</v>
      </c>
      <c r="AD140" s="2" t="s">
        <v>551</v>
      </c>
      <c r="AE140" s="47" t="s">
        <v>936</v>
      </c>
      <c r="AF140" s="2" t="s">
        <v>551</v>
      </c>
      <c r="AG140" s="47" t="s">
        <v>936</v>
      </c>
      <c r="AH140" s="2" t="s">
        <v>553</v>
      </c>
      <c r="AI140" s="47" t="s">
        <v>924</v>
      </c>
      <c r="AK140" s="1">
        <v>5.9</v>
      </c>
      <c r="AL140" s="1">
        <v>7.69</v>
      </c>
      <c r="AM140" s="1">
        <v>15.7</v>
      </c>
      <c r="AN140" s="1">
        <v>2</v>
      </c>
      <c r="AO140" s="1">
        <v>23.738399999999999</v>
      </c>
      <c r="AP140" s="1">
        <v>2.7</v>
      </c>
      <c r="AQ140" s="1">
        <v>0.2</v>
      </c>
      <c r="AR140" s="1">
        <v>3.1941000000000002</v>
      </c>
      <c r="AS140" s="1" t="s">
        <v>101</v>
      </c>
      <c r="AT140" s="2">
        <f t="shared" si="40"/>
        <v>82.802547770700642</v>
      </c>
      <c r="AU140" s="47">
        <v>82.802547770700642</v>
      </c>
      <c r="AV140" s="2" t="s">
        <v>101</v>
      </c>
      <c r="AW140" s="2" t="s">
        <v>861</v>
      </c>
      <c r="AX140" s="1"/>
      <c r="AY140" s="1"/>
    </row>
    <row r="141" spans="1:51" s="2" customFormat="1" ht="27.75" customHeight="1" x14ac:dyDescent="0.35">
      <c r="A141" s="1">
        <v>35</v>
      </c>
      <c r="B141" s="2" t="s">
        <v>542</v>
      </c>
      <c r="C141" s="2" t="s">
        <v>543</v>
      </c>
      <c r="D141" s="2" t="s">
        <v>490</v>
      </c>
      <c r="E141" s="28" t="s">
        <v>875</v>
      </c>
      <c r="F141" s="2" t="s">
        <v>549</v>
      </c>
      <c r="G141" s="2" t="s">
        <v>545</v>
      </c>
      <c r="J141" s="2" t="s">
        <v>880</v>
      </c>
      <c r="K141" s="15">
        <v>44136</v>
      </c>
      <c r="L141" s="5" t="s">
        <v>546</v>
      </c>
      <c r="M141" s="2" t="s">
        <v>455</v>
      </c>
      <c r="N141" s="47" t="s">
        <v>886</v>
      </c>
      <c r="O141" s="2" t="s">
        <v>445</v>
      </c>
      <c r="P141" s="47" t="s">
        <v>534</v>
      </c>
      <c r="Q141" s="26" t="s">
        <v>93</v>
      </c>
      <c r="R141" s="26">
        <v>9.0299999999999994</v>
      </c>
      <c r="S141" s="1">
        <v>0.06</v>
      </c>
      <c r="T141" s="1">
        <v>2.0699999999999998</v>
      </c>
      <c r="U141" s="1">
        <v>0.03</v>
      </c>
      <c r="V141" s="1">
        <v>6.5</v>
      </c>
      <c r="W141" s="2">
        <v>35</v>
      </c>
      <c r="X141" s="55">
        <f>W141*3.39</f>
        <v>118.65</v>
      </c>
      <c r="Y141" s="2" t="s">
        <v>860</v>
      </c>
      <c r="AA141" s="2" t="s">
        <v>544</v>
      </c>
      <c r="AB141" s="2" t="s">
        <v>555</v>
      </c>
      <c r="AC141" s="2" t="s">
        <v>895</v>
      </c>
      <c r="AD141" s="2" t="s">
        <v>551</v>
      </c>
      <c r="AE141" s="47" t="s">
        <v>936</v>
      </c>
      <c r="AF141" s="2" t="s">
        <v>551</v>
      </c>
      <c r="AG141" s="47" t="s">
        <v>936</v>
      </c>
      <c r="AH141" s="2" t="s">
        <v>552</v>
      </c>
      <c r="AI141" s="47" t="s">
        <v>924</v>
      </c>
      <c r="AK141" s="1">
        <v>6.5</v>
      </c>
      <c r="AL141" s="1">
        <v>9.0299999999999994</v>
      </c>
      <c r="AM141" s="1">
        <v>36</v>
      </c>
      <c r="AN141" s="1">
        <v>2</v>
      </c>
      <c r="AO141" s="1">
        <v>25.83</v>
      </c>
      <c r="AP141" s="1">
        <v>32.799999999999997</v>
      </c>
      <c r="AQ141" s="1">
        <v>4.4000000000000004</v>
      </c>
      <c r="AR141" s="1">
        <v>23.763599999999997</v>
      </c>
      <c r="AS141" s="1" t="s">
        <v>101</v>
      </c>
      <c r="AT141" s="2">
        <f t="shared" si="40"/>
        <v>8.8888888888888964</v>
      </c>
      <c r="AU141" s="47">
        <v>8.8888888888888964</v>
      </c>
      <c r="AV141" s="2" t="s">
        <v>101</v>
      </c>
      <c r="AW141" s="2" t="s">
        <v>861</v>
      </c>
      <c r="AX141" s="1"/>
      <c r="AY141" s="1"/>
    </row>
    <row r="142" spans="1:51" s="2" customFormat="1" ht="27.75" customHeight="1" x14ac:dyDescent="0.35">
      <c r="A142" s="1">
        <v>35</v>
      </c>
      <c r="B142" s="2" t="s">
        <v>542</v>
      </c>
      <c r="C142" s="2" t="s">
        <v>543</v>
      </c>
      <c r="D142" s="2" t="s">
        <v>490</v>
      </c>
      <c r="E142" s="28" t="s">
        <v>875</v>
      </c>
      <c r="F142" s="2" t="s">
        <v>549</v>
      </c>
      <c r="G142" s="2" t="s">
        <v>545</v>
      </c>
      <c r="J142" s="2" t="s">
        <v>880</v>
      </c>
      <c r="K142" s="15">
        <v>44136</v>
      </c>
      <c r="L142" s="5" t="s">
        <v>546</v>
      </c>
      <c r="M142" s="2" t="s">
        <v>455</v>
      </c>
      <c r="N142" s="47" t="s">
        <v>886</v>
      </c>
      <c r="O142" s="2" t="s">
        <v>445</v>
      </c>
      <c r="P142" s="47" t="s">
        <v>534</v>
      </c>
      <c r="Q142" s="26" t="s">
        <v>93</v>
      </c>
      <c r="R142" s="26">
        <v>9.35</v>
      </c>
      <c r="S142" s="1">
        <v>1.2E-2</v>
      </c>
      <c r="T142" s="1">
        <v>1.93</v>
      </c>
      <c r="U142" s="1">
        <v>0.03</v>
      </c>
      <c r="V142" s="1">
        <v>6</v>
      </c>
      <c r="W142" s="2">
        <v>35</v>
      </c>
      <c r="X142" s="55">
        <f>W142*3.43</f>
        <v>120.05000000000001</v>
      </c>
      <c r="Y142" s="2" t="s">
        <v>860</v>
      </c>
      <c r="AA142" s="2" t="s">
        <v>544</v>
      </c>
      <c r="AB142" s="2" t="s">
        <v>555</v>
      </c>
      <c r="AC142" s="2" t="s">
        <v>895</v>
      </c>
      <c r="AD142" s="2" t="s">
        <v>551</v>
      </c>
      <c r="AE142" s="47" t="s">
        <v>936</v>
      </c>
      <c r="AF142" s="2" t="s">
        <v>551</v>
      </c>
      <c r="AG142" s="47" t="s">
        <v>936</v>
      </c>
      <c r="AH142" s="2" t="s">
        <v>553</v>
      </c>
      <c r="AI142" s="47" t="s">
        <v>924</v>
      </c>
      <c r="AK142" s="1">
        <v>6</v>
      </c>
      <c r="AL142" s="1">
        <v>9.35</v>
      </c>
      <c r="AM142" s="1">
        <v>36</v>
      </c>
      <c r="AN142" s="1">
        <v>2</v>
      </c>
      <c r="AO142" s="1">
        <v>25.83</v>
      </c>
      <c r="AP142" s="1">
        <v>2.7</v>
      </c>
      <c r="AQ142" s="1">
        <v>0.7</v>
      </c>
      <c r="AR142" s="1">
        <v>1.82385</v>
      </c>
      <c r="AS142" s="1" t="s">
        <v>101</v>
      </c>
      <c r="AT142" s="2">
        <f t="shared" si="40"/>
        <v>92.5</v>
      </c>
      <c r="AU142" s="47">
        <v>92.5</v>
      </c>
      <c r="AV142" s="2" t="s">
        <v>101</v>
      </c>
      <c r="AW142" s="2" t="s">
        <v>861</v>
      </c>
      <c r="AX142" s="1"/>
      <c r="AY142" s="1"/>
    </row>
    <row r="143" spans="1:51" s="2" customFormat="1" ht="27.75" customHeight="1" x14ac:dyDescent="0.35">
      <c r="A143" s="1">
        <v>35</v>
      </c>
      <c r="B143" s="2" t="s">
        <v>542</v>
      </c>
      <c r="C143" s="2" t="s">
        <v>543</v>
      </c>
      <c r="D143" s="2" t="s">
        <v>490</v>
      </c>
      <c r="E143" s="28" t="s">
        <v>875</v>
      </c>
      <c r="F143" s="2" t="s">
        <v>550</v>
      </c>
      <c r="G143" s="2" t="s">
        <v>545</v>
      </c>
      <c r="J143" s="2" t="s">
        <v>880</v>
      </c>
      <c r="K143" s="15">
        <v>44136</v>
      </c>
      <c r="L143" s="5" t="s">
        <v>546</v>
      </c>
      <c r="M143" s="2" t="s">
        <v>455</v>
      </c>
      <c r="N143" s="47" t="s">
        <v>886</v>
      </c>
      <c r="O143" s="2" t="s">
        <v>445</v>
      </c>
      <c r="P143" s="47" t="s">
        <v>534</v>
      </c>
      <c r="Q143" s="26" t="s">
        <v>93</v>
      </c>
      <c r="R143" s="26">
        <v>5.84</v>
      </c>
      <c r="S143" s="1">
        <v>0.11</v>
      </c>
      <c r="T143" s="1">
        <v>1.86</v>
      </c>
      <c r="U143" s="1">
        <v>0.13</v>
      </c>
      <c r="V143" s="1">
        <v>6.3</v>
      </c>
      <c r="W143" s="2">
        <v>35</v>
      </c>
      <c r="X143" s="55">
        <f>W143*2.99</f>
        <v>104.65</v>
      </c>
      <c r="Y143" s="2" t="s">
        <v>860</v>
      </c>
      <c r="AA143" s="2" t="s">
        <v>544</v>
      </c>
      <c r="AB143" s="2" t="s">
        <v>555</v>
      </c>
      <c r="AC143" s="2" t="s">
        <v>895</v>
      </c>
      <c r="AD143" s="2" t="s">
        <v>551</v>
      </c>
      <c r="AE143" s="47" t="s">
        <v>936</v>
      </c>
      <c r="AF143" s="2" t="s">
        <v>551</v>
      </c>
      <c r="AG143" s="47" t="s">
        <v>936</v>
      </c>
      <c r="AH143" s="2" t="s">
        <v>552</v>
      </c>
      <c r="AI143" s="47" t="s">
        <v>924</v>
      </c>
      <c r="AK143" s="1">
        <v>6.3</v>
      </c>
      <c r="AL143" s="1">
        <v>5.84</v>
      </c>
      <c r="AM143" s="1">
        <v>27</v>
      </c>
      <c r="AN143" s="1">
        <v>2.9</v>
      </c>
      <c r="AO143" s="1">
        <v>17.995000000000001</v>
      </c>
      <c r="AP143" s="1">
        <v>22.6</v>
      </c>
      <c r="AQ143" s="1">
        <v>1.9</v>
      </c>
      <c r="AR143" s="1">
        <v>14.7126</v>
      </c>
      <c r="AS143" s="1" t="s">
        <v>101</v>
      </c>
      <c r="AT143" s="2">
        <f t="shared" si="40"/>
        <v>16.296296296296291</v>
      </c>
      <c r="AU143" s="47">
        <v>16.296296296296291</v>
      </c>
      <c r="AV143" s="2" t="s">
        <v>101</v>
      </c>
      <c r="AW143" s="2" t="s">
        <v>861</v>
      </c>
      <c r="AX143" s="1"/>
      <c r="AY143" s="1"/>
    </row>
    <row r="144" spans="1:51" s="11" customFormat="1" ht="27.75" customHeight="1" thickBot="1" x14ac:dyDescent="0.4">
      <c r="A144" s="8">
        <v>35</v>
      </c>
      <c r="B144" s="11" t="s">
        <v>542</v>
      </c>
      <c r="C144" s="11" t="s">
        <v>543</v>
      </c>
      <c r="D144" s="11" t="s">
        <v>490</v>
      </c>
      <c r="E144" s="29" t="s">
        <v>875</v>
      </c>
      <c r="F144" s="11" t="s">
        <v>550</v>
      </c>
      <c r="G144" s="11" t="s">
        <v>545</v>
      </c>
      <c r="J144" s="2" t="s">
        <v>880</v>
      </c>
      <c r="K144" s="17">
        <v>44136</v>
      </c>
      <c r="L144" s="9" t="s">
        <v>546</v>
      </c>
      <c r="M144" s="11" t="s">
        <v>455</v>
      </c>
      <c r="N144" s="47" t="s">
        <v>886</v>
      </c>
      <c r="O144" s="11" t="s">
        <v>445</v>
      </c>
      <c r="P144" s="47" t="s">
        <v>534</v>
      </c>
      <c r="Q144" s="27" t="s">
        <v>93</v>
      </c>
      <c r="R144" s="27">
        <v>6.08</v>
      </c>
      <c r="S144" s="8">
        <v>7.0000000000000007E-2</v>
      </c>
      <c r="T144" s="8">
        <v>2.04</v>
      </c>
      <c r="U144" s="8">
        <v>0.03</v>
      </c>
      <c r="V144" s="8">
        <v>6.1</v>
      </c>
      <c r="W144" s="11">
        <v>35</v>
      </c>
      <c r="X144" s="56">
        <f>W144*2.99</f>
        <v>104.65</v>
      </c>
      <c r="Y144" s="11" t="s">
        <v>860</v>
      </c>
      <c r="AA144" s="11" t="s">
        <v>544</v>
      </c>
      <c r="AB144" s="11" t="s">
        <v>555</v>
      </c>
      <c r="AC144" s="2" t="s">
        <v>895</v>
      </c>
      <c r="AD144" s="11" t="s">
        <v>551</v>
      </c>
      <c r="AE144" s="47" t="s">
        <v>936</v>
      </c>
      <c r="AF144" s="11" t="s">
        <v>551</v>
      </c>
      <c r="AG144" s="47" t="s">
        <v>936</v>
      </c>
      <c r="AH144" s="11" t="s">
        <v>553</v>
      </c>
      <c r="AI144" s="47" t="s">
        <v>924</v>
      </c>
      <c r="AK144" s="8">
        <v>6.1</v>
      </c>
      <c r="AL144" s="8">
        <v>6.18</v>
      </c>
      <c r="AM144" s="8">
        <v>27</v>
      </c>
      <c r="AN144" s="8">
        <v>2.9</v>
      </c>
      <c r="AO144" s="8">
        <v>17.995000000000001</v>
      </c>
      <c r="AP144" s="8">
        <v>9.3000000000000007</v>
      </c>
      <c r="AQ144" s="8">
        <v>0.6</v>
      </c>
      <c r="AR144" s="8">
        <v>6.640200000000001</v>
      </c>
      <c r="AS144" s="8" t="s">
        <v>101</v>
      </c>
      <c r="AT144" s="11">
        <f t="shared" si="40"/>
        <v>65.555555555555557</v>
      </c>
      <c r="AU144" s="49">
        <v>65.555555555555557</v>
      </c>
      <c r="AV144" s="11" t="s">
        <v>101</v>
      </c>
      <c r="AW144" s="11" t="s">
        <v>861</v>
      </c>
      <c r="AX144" s="8"/>
      <c r="AY144" s="8"/>
    </row>
    <row r="145" spans="1:51" s="2" customFormat="1" ht="27.75" customHeight="1" thickTop="1" x14ac:dyDescent="0.35">
      <c r="A145" s="1">
        <v>36</v>
      </c>
      <c r="B145" s="2" t="s">
        <v>556</v>
      </c>
      <c r="C145" s="2" t="s">
        <v>557</v>
      </c>
      <c r="D145" s="2" t="s">
        <v>138</v>
      </c>
      <c r="E145" s="28" t="s">
        <v>101</v>
      </c>
      <c r="F145" s="2" t="s">
        <v>559</v>
      </c>
      <c r="G145" s="2" t="s">
        <v>568</v>
      </c>
      <c r="J145" s="2" t="s">
        <v>880</v>
      </c>
      <c r="K145" s="5" t="s">
        <v>571</v>
      </c>
      <c r="L145" s="5" t="s">
        <v>572</v>
      </c>
      <c r="M145" s="2" t="s">
        <v>567</v>
      </c>
      <c r="N145" s="47" t="s">
        <v>886</v>
      </c>
      <c r="O145" s="2" t="s">
        <v>558</v>
      </c>
      <c r="P145" s="47" t="s">
        <v>534</v>
      </c>
      <c r="Q145" s="26" t="s">
        <v>93</v>
      </c>
      <c r="R145" s="26">
        <v>14</v>
      </c>
      <c r="S145" s="1" t="s">
        <v>101</v>
      </c>
      <c r="T145" s="43">
        <v>46</v>
      </c>
      <c r="U145" s="1" t="s">
        <v>101</v>
      </c>
      <c r="V145" s="1" t="s">
        <v>101</v>
      </c>
      <c r="W145" s="2">
        <v>25</v>
      </c>
      <c r="X145" s="47" t="s">
        <v>101</v>
      </c>
      <c r="Y145" s="15" t="s">
        <v>578</v>
      </c>
      <c r="Z145" s="15"/>
      <c r="AA145" s="2" t="s">
        <v>586</v>
      </c>
      <c r="AB145" s="2" t="s">
        <v>577</v>
      </c>
      <c r="AC145" s="2" t="s">
        <v>846</v>
      </c>
      <c r="AD145" s="2" t="s">
        <v>575</v>
      </c>
      <c r="AE145" s="47" t="s">
        <v>940</v>
      </c>
      <c r="AF145" s="1" t="s">
        <v>573</v>
      </c>
      <c r="AG145" s="26" t="s">
        <v>966</v>
      </c>
      <c r="AH145" s="2" t="s">
        <v>101</v>
      </c>
      <c r="AI145" s="47" t="s">
        <v>914</v>
      </c>
      <c r="AK145" s="2" t="s">
        <v>101</v>
      </c>
      <c r="AL145" s="2" t="s">
        <v>101</v>
      </c>
      <c r="AM145" s="1">
        <v>14</v>
      </c>
      <c r="AN145" s="1" t="s">
        <v>101</v>
      </c>
      <c r="AO145" s="1">
        <v>7.4</v>
      </c>
      <c r="AP145" s="1">
        <v>9.6999999999999993</v>
      </c>
      <c r="AQ145" s="1" t="s">
        <v>101</v>
      </c>
      <c r="AR145" s="1">
        <v>4.5</v>
      </c>
      <c r="AS145" s="1" t="s">
        <v>101</v>
      </c>
      <c r="AT145" s="2">
        <f t="shared" ref="AT145:AT160" si="41">((AM145-AP145)/AM145)*100</f>
        <v>30.714285714285722</v>
      </c>
      <c r="AU145" s="47">
        <v>30.714285714285722</v>
      </c>
      <c r="AV145" s="1" t="s">
        <v>101</v>
      </c>
      <c r="AW145" s="2" t="s">
        <v>591</v>
      </c>
      <c r="AX145" s="36"/>
      <c r="AY145" s="1"/>
    </row>
    <row r="146" spans="1:51" s="2" customFormat="1" ht="27.75" customHeight="1" x14ac:dyDescent="0.35">
      <c r="A146" s="1">
        <v>36</v>
      </c>
      <c r="B146" s="2" t="s">
        <v>556</v>
      </c>
      <c r="C146" s="2" t="s">
        <v>557</v>
      </c>
      <c r="D146" s="2" t="s">
        <v>138</v>
      </c>
      <c r="E146" s="28" t="s">
        <v>101</v>
      </c>
      <c r="F146" s="2" t="s">
        <v>559</v>
      </c>
      <c r="G146" s="2" t="s">
        <v>568</v>
      </c>
      <c r="J146" s="2" t="s">
        <v>880</v>
      </c>
      <c r="K146" s="5" t="s">
        <v>571</v>
      </c>
      <c r="L146" s="5" t="s">
        <v>572</v>
      </c>
      <c r="M146" s="2" t="s">
        <v>567</v>
      </c>
      <c r="N146" s="47" t="s">
        <v>886</v>
      </c>
      <c r="O146" s="2" t="s">
        <v>558</v>
      </c>
      <c r="P146" s="47" t="s">
        <v>534</v>
      </c>
      <c r="Q146" s="26" t="s">
        <v>93</v>
      </c>
      <c r="R146" s="26">
        <v>14</v>
      </c>
      <c r="S146" s="1" t="s">
        <v>101</v>
      </c>
      <c r="T146" s="43">
        <v>47</v>
      </c>
      <c r="U146" s="1" t="s">
        <v>101</v>
      </c>
      <c r="V146" s="1" t="s">
        <v>101</v>
      </c>
      <c r="W146" s="2">
        <v>50</v>
      </c>
      <c r="X146" s="47" t="s">
        <v>101</v>
      </c>
      <c r="Y146" s="15" t="s">
        <v>578</v>
      </c>
      <c r="Z146" s="15"/>
      <c r="AA146" s="2" t="s">
        <v>586</v>
      </c>
      <c r="AB146" s="2" t="s">
        <v>577</v>
      </c>
      <c r="AC146" s="2" t="s">
        <v>846</v>
      </c>
      <c r="AD146" s="2" t="s">
        <v>576</v>
      </c>
      <c r="AE146" s="47" t="s">
        <v>940</v>
      </c>
      <c r="AF146" s="1" t="s">
        <v>574</v>
      </c>
      <c r="AG146" s="26" t="s">
        <v>966</v>
      </c>
      <c r="AH146" s="2" t="s">
        <v>101</v>
      </c>
      <c r="AI146" s="47" t="s">
        <v>914</v>
      </c>
      <c r="AK146" s="2" t="s">
        <v>101</v>
      </c>
      <c r="AL146" s="2" t="s">
        <v>101</v>
      </c>
      <c r="AM146" s="1">
        <v>21.3</v>
      </c>
      <c r="AN146" s="1" t="s">
        <v>101</v>
      </c>
      <c r="AO146" s="1">
        <v>13.7</v>
      </c>
      <c r="AP146" s="1">
        <v>11</v>
      </c>
      <c r="AQ146" s="1" t="s">
        <v>101</v>
      </c>
      <c r="AR146" s="1">
        <v>5.2</v>
      </c>
      <c r="AS146" s="1" t="s">
        <v>101</v>
      </c>
      <c r="AT146" s="2">
        <f t="shared" si="41"/>
        <v>48.356807511737095</v>
      </c>
      <c r="AU146" s="47">
        <v>48.356807511737095</v>
      </c>
      <c r="AV146" s="1" t="s">
        <v>101</v>
      </c>
      <c r="AW146" s="2" t="s">
        <v>591</v>
      </c>
      <c r="AX146" s="36"/>
      <c r="AY146" s="1"/>
    </row>
    <row r="147" spans="1:51" s="2" customFormat="1" ht="27.75" customHeight="1" x14ac:dyDescent="0.35">
      <c r="A147" s="1">
        <v>36</v>
      </c>
      <c r="B147" s="2" t="s">
        <v>556</v>
      </c>
      <c r="C147" s="2" t="s">
        <v>557</v>
      </c>
      <c r="D147" s="2" t="s">
        <v>138</v>
      </c>
      <c r="E147" s="28" t="s">
        <v>101</v>
      </c>
      <c r="F147" s="2" t="s">
        <v>560</v>
      </c>
      <c r="G147" s="2" t="s">
        <v>568</v>
      </c>
      <c r="J147" s="2" t="s">
        <v>880</v>
      </c>
      <c r="K147" s="5" t="s">
        <v>571</v>
      </c>
      <c r="L147" s="5" t="s">
        <v>572</v>
      </c>
      <c r="M147" s="2" t="s">
        <v>567</v>
      </c>
      <c r="N147" s="47" t="s">
        <v>886</v>
      </c>
      <c r="O147" s="2" t="s">
        <v>558</v>
      </c>
      <c r="P147" s="47" t="s">
        <v>534</v>
      </c>
      <c r="Q147" s="26" t="s">
        <v>93</v>
      </c>
      <c r="R147" s="26">
        <v>10.4</v>
      </c>
      <c r="S147" s="1" t="s">
        <v>101</v>
      </c>
      <c r="T147" s="43">
        <v>44</v>
      </c>
      <c r="U147" s="1" t="s">
        <v>101</v>
      </c>
      <c r="V147" s="1" t="s">
        <v>101</v>
      </c>
      <c r="W147" s="2">
        <v>25</v>
      </c>
      <c r="X147" s="47" t="s">
        <v>101</v>
      </c>
      <c r="Y147" s="15" t="s">
        <v>579</v>
      </c>
      <c r="Z147" s="15"/>
      <c r="AA147" s="2" t="s">
        <v>586</v>
      </c>
      <c r="AB147" s="2" t="s">
        <v>577</v>
      </c>
      <c r="AC147" s="2" t="s">
        <v>846</v>
      </c>
      <c r="AD147" s="2" t="s">
        <v>575</v>
      </c>
      <c r="AE147" s="47" t="s">
        <v>940</v>
      </c>
      <c r="AF147" s="1" t="s">
        <v>573</v>
      </c>
      <c r="AG147" s="26" t="s">
        <v>966</v>
      </c>
      <c r="AH147" s="2" t="s">
        <v>101</v>
      </c>
      <c r="AI147" s="47" t="s">
        <v>914</v>
      </c>
      <c r="AK147" s="2" t="s">
        <v>101</v>
      </c>
      <c r="AL147" s="2" t="s">
        <v>101</v>
      </c>
      <c r="AM147" s="1">
        <v>24</v>
      </c>
      <c r="AN147" s="1" t="s">
        <v>101</v>
      </c>
      <c r="AO147" s="1">
        <v>12.8</v>
      </c>
      <c r="AP147" s="1">
        <v>13.3</v>
      </c>
      <c r="AQ147" s="1" t="s">
        <v>101</v>
      </c>
      <c r="AR147" s="1">
        <v>5.8</v>
      </c>
      <c r="AS147" s="1" t="s">
        <v>101</v>
      </c>
      <c r="AT147" s="2">
        <f t="shared" si="41"/>
        <v>44.583333333333329</v>
      </c>
      <c r="AU147" s="47">
        <v>44.583333333333329</v>
      </c>
      <c r="AV147" s="1" t="s">
        <v>101</v>
      </c>
      <c r="AW147" s="2" t="s">
        <v>591</v>
      </c>
      <c r="AX147" s="36"/>
      <c r="AY147" s="1"/>
    </row>
    <row r="148" spans="1:51" s="2" customFormat="1" ht="27.75" customHeight="1" x14ac:dyDescent="0.35">
      <c r="A148" s="1">
        <v>36</v>
      </c>
      <c r="B148" s="2" t="s">
        <v>556</v>
      </c>
      <c r="C148" s="2" t="s">
        <v>557</v>
      </c>
      <c r="D148" s="2" t="s">
        <v>138</v>
      </c>
      <c r="E148" s="28" t="s">
        <v>101</v>
      </c>
      <c r="F148" s="2" t="s">
        <v>560</v>
      </c>
      <c r="G148" s="2" t="s">
        <v>568</v>
      </c>
      <c r="J148" s="2" t="s">
        <v>880</v>
      </c>
      <c r="K148" s="5" t="s">
        <v>571</v>
      </c>
      <c r="L148" s="5" t="s">
        <v>572</v>
      </c>
      <c r="M148" s="2" t="s">
        <v>567</v>
      </c>
      <c r="N148" s="47" t="s">
        <v>886</v>
      </c>
      <c r="O148" s="2" t="s">
        <v>558</v>
      </c>
      <c r="P148" s="47" t="s">
        <v>534</v>
      </c>
      <c r="Q148" s="26" t="s">
        <v>93</v>
      </c>
      <c r="R148" s="26">
        <v>10.4</v>
      </c>
      <c r="S148" s="1" t="s">
        <v>101</v>
      </c>
      <c r="T148" s="43">
        <v>89</v>
      </c>
      <c r="U148" s="1" t="s">
        <v>101</v>
      </c>
      <c r="V148" s="1" t="s">
        <v>101</v>
      </c>
      <c r="W148" s="2">
        <v>50</v>
      </c>
      <c r="X148" s="47" t="s">
        <v>101</v>
      </c>
      <c r="Y148" s="15" t="s">
        <v>579</v>
      </c>
      <c r="Z148" s="15"/>
      <c r="AA148" s="2" t="s">
        <v>586</v>
      </c>
      <c r="AB148" s="2" t="s">
        <v>577</v>
      </c>
      <c r="AC148" s="2" t="s">
        <v>846</v>
      </c>
      <c r="AD148" s="2" t="s">
        <v>576</v>
      </c>
      <c r="AE148" s="47" t="s">
        <v>940</v>
      </c>
      <c r="AF148" s="1" t="s">
        <v>574</v>
      </c>
      <c r="AG148" s="26" t="s">
        <v>966</v>
      </c>
      <c r="AH148" s="2" t="s">
        <v>101</v>
      </c>
      <c r="AI148" s="47" t="s">
        <v>914</v>
      </c>
      <c r="AK148" s="2" t="s">
        <v>101</v>
      </c>
      <c r="AL148" s="2" t="s">
        <v>101</v>
      </c>
      <c r="AM148" s="1">
        <v>41</v>
      </c>
      <c r="AN148" s="1" t="s">
        <v>101</v>
      </c>
      <c r="AO148" s="1">
        <v>38</v>
      </c>
      <c r="AP148" s="1">
        <v>22.7</v>
      </c>
      <c r="AQ148" s="1" t="s">
        <v>101</v>
      </c>
      <c r="AR148" s="1">
        <v>20.3</v>
      </c>
      <c r="AS148" s="1" t="s">
        <v>101</v>
      </c>
      <c r="AT148" s="2">
        <f t="shared" si="41"/>
        <v>44.634146341463413</v>
      </c>
      <c r="AU148" s="47">
        <v>44.634146341463413</v>
      </c>
      <c r="AV148" s="1" t="s">
        <v>101</v>
      </c>
      <c r="AW148" s="2" t="s">
        <v>591</v>
      </c>
      <c r="AX148" s="36"/>
      <c r="AY148" s="1"/>
    </row>
    <row r="149" spans="1:51" s="2" customFormat="1" ht="27.75" customHeight="1" x14ac:dyDescent="0.35">
      <c r="A149" s="1">
        <v>36</v>
      </c>
      <c r="B149" s="2" t="s">
        <v>556</v>
      </c>
      <c r="C149" s="2" t="s">
        <v>557</v>
      </c>
      <c r="D149" s="2" t="s">
        <v>138</v>
      </c>
      <c r="E149" s="28" t="s">
        <v>101</v>
      </c>
      <c r="F149" s="2" t="s">
        <v>561</v>
      </c>
      <c r="G149" s="2" t="s">
        <v>570</v>
      </c>
      <c r="J149" s="2" t="s">
        <v>882</v>
      </c>
      <c r="K149" s="5" t="s">
        <v>571</v>
      </c>
      <c r="L149" s="5" t="s">
        <v>572</v>
      </c>
      <c r="M149" s="2" t="s">
        <v>569</v>
      </c>
      <c r="N149" s="47" t="s">
        <v>886</v>
      </c>
      <c r="O149" s="2" t="s">
        <v>558</v>
      </c>
      <c r="P149" s="47" t="s">
        <v>534</v>
      </c>
      <c r="Q149" s="26" t="s">
        <v>93</v>
      </c>
      <c r="R149" s="26">
        <v>11.8</v>
      </c>
      <c r="S149" s="1" t="s">
        <v>101</v>
      </c>
      <c r="T149" s="43">
        <v>37</v>
      </c>
      <c r="U149" s="1" t="s">
        <v>101</v>
      </c>
      <c r="V149" s="1" t="s">
        <v>101</v>
      </c>
      <c r="W149" s="2">
        <v>25</v>
      </c>
      <c r="X149" s="47" t="s">
        <v>101</v>
      </c>
      <c r="Y149" s="15" t="s">
        <v>580</v>
      </c>
      <c r="Z149" s="15"/>
      <c r="AA149" s="2" t="s">
        <v>587</v>
      </c>
      <c r="AB149" s="2" t="s">
        <v>577</v>
      </c>
      <c r="AC149" s="2" t="s">
        <v>846</v>
      </c>
      <c r="AD149" s="2" t="s">
        <v>575</v>
      </c>
      <c r="AE149" s="47" t="s">
        <v>940</v>
      </c>
      <c r="AF149" s="1" t="s">
        <v>573</v>
      </c>
      <c r="AG149" s="26" t="s">
        <v>966</v>
      </c>
      <c r="AH149" s="2" t="s">
        <v>101</v>
      </c>
      <c r="AI149" s="47" t="s">
        <v>914</v>
      </c>
      <c r="AK149" s="2" t="s">
        <v>101</v>
      </c>
      <c r="AL149" s="2" t="s">
        <v>101</v>
      </c>
      <c r="AM149" s="1">
        <v>41</v>
      </c>
      <c r="AN149" s="1" t="s">
        <v>101</v>
      </c>
      <c r="AO149" s="1">
        <v>38</v>
      </c>
      <c r="AP149" s="1">
        <v>6</v>
      </c>
      <c r="AQ149" s="1" t="s">
        <v>101</v>
      </c>
      <c r="AR149" s="1">
        <v>2.2000000000000002</v>
      </c>
      <c r="AS149" s="1" t="s">
        <v>101</v>
      </c>
      <c r="AT149" s="2">
        <f t="shared" si="41"/>
        <v>85.365853658536579</v>
      </c>
      <c r="AU149" s="47">
        <v>88.614800759013278</v>
      </c>
      <c r="AV149" s="1" t="s">
        <v>101</v>
      </c>
      <c r="AW149" s="2" t="s">
        <v>591</v>
      </c>
      <c r="AX149" s="36"/>
      <c r="AY149" s="1"/>
    </row>
    <row r="150" spans="1:51" s="2" customFormat="1" ht="27.75" customHeight="1" x14ac:dyDescent="0.35">
      <c r="A150" s="1">
        <v>36</v>
      </c>
      <c r="B150" s="2" t="s">
        <v>556</v>
      </c>
      <c r="C150" s="2" t="s">
        <v>557</v>
      </c>
      <c r="D150" s="2" t="s">
        <v>138</v>
      </c>
      <c r="E150" s="28" t="s">
        <v>101</v>
      </c>
      <c r="F150" s="2" t="s">
        <v>561</v>
      </c>
      <c r="G150" s="2" t="s">
        <v>570</v>
      </c>
      <c r="J150" s="2" t="s">
        <v>882</v>
      </c>
      <c r="K150" s="5" t="s">
        <v>571</v>
      </c>
      <c r="L150" s="5" t="s">
        <v>572</v>
      </c>
      <c r="M150" s="2" t="s">
        <v>569</v>
      </c>
      <c r="N150" s="47" t="s">
        <v>886</v>
      </c>
      <c r="O150" s="2" t="s">
        <v>558</v>
      </c>
      <c r="P150" s="47" t="s">
        <v>534</v>
      </c>
      <c r="Q150" s="26" t="s">
        <v>93</v>
      </c>
      <c r="R150" s="26">
        <v>11.8</v>
      </c>
      <c r="S150" s="1" t="s">
        <v>101</v>
      </c>
      <c r="T150" s="43">
        <v>52</v>
      </c>
      <c r="U150" s="1" t="s">
        <v>101</v>
      </c>
      <c r="V150" s="1" t="s">
        <v>101</v>
      </c>
      <c r="W150" s="2">
        <v>50</v>
      </c>
      <c r="X150" s="47" t="s">
        <v>101</v>
      </c>
      <c r="Y150" s="15" t="s">
        <v>580</v>
      </c>
      <c r="Z150" s="15"/>
      <c r="AA150" s="2" t="s">
        <v>587</v>
      </c>
      <c r="AB150" s="2" t="s">
        <v>577</v>
      </c>
      <c r="AC150" s="2" t="s">
        <v>846</v>
      </c>
      <c r="AD150" s="2" t="s">
        <v>576</v>
      </c>
      <c r="AE150" s="47" t="s">
        <v>940</v>
      </c>
      <c r="AF150" s="1" t="s">
        <v>574</v>
      </c>
      <c r="AG150" s="26" t="s">
        <v>966</v>
      </c>
      <c r="AH150" s="2" t="s">
        <v>101</v>
      </c>
      <c r="AI150" s="47" t="s">
        <v>914</v>
      </c>
      <c r="AK150" s="2" t="s">
        <v>101</v>
      </c>
      <c r="AL150" s="2" t="s">
        <v>101</v>
      </c>
      <c r="AM150" s="1">
        <v>58.7</v>
      </c>
      <c r="AN150" s="1" t="s">
        <v>101</v>
      </c>
      <c r="AO150" s="1">
        <v>46.5</v>
      </c>
      <c r="AP150" s="1">
        <v>11.7</v>
      </c>
      <c r="AQ150" s="1" t="s">
        <v>101</v>
      </c>
      <c r="AR150" s="1">
        <v>6.1</v>
      </c>
      <c r="AS150" s="1" t="s">
        <v>101</v>
      </c>
      <c r="AT150" s="2">
        <f t="shared" si="41"/>
        <v>80.068143100511065</v>
      </c>
      <c r="AU150" s="47">
        <v>80.068143100511065</v>
      </c>
      <c r="AV150" s="1" t="s">
        <v>101</v>
      </c>
      <c r="AW150" s="2" t="s">
        <v>591</v>
      </c>
      <c r="AX150" s="36"/>
      <c r="AY150" s="1"/>
    </row>
    <row r="151" spans="1:51" s="2" customFormat="1" ht="27.75" customHeight="1" x14ac:dyDescent="0.35">
      <c r="A151" s="1">
        <v>36</v>
      </c>
      <c r="B151" s="2" t="s">
        <v>556</v>
      </c>
      <c r="C151" s="2" t="s">
        <v>557</v>
      </c>
      <c r="D151" s="2" t="s">
        <v>138</v>
      </c>
      <c r="E151" s="28" t="s">
        <v>101</v>
      </c>
      <c r="F151" s="2" t="s">
        <v>562</v>
      </c>
      <c r="G151" s="2" t="s">
        <v>568</v>
      </c>
      <c r="J151" s="2" t="s">
        <v>880</v>
      </c>
      <c r="K151" s="5" t="s">
        <v>571</v>
      </c>
      <c r="L151" s="5" t="s">
        <v>572</v>
      </c>
      <c r="M151" s="2" t="s">
        <v>567</v>
      </c>
      <c r="N151" s="47" t="s">
        <v>886</v>
      </c>
      <c r="O151" s="2" t="s">
        <v>558</v>
      </c>
      <c r="P151" s="47" t="s">
        <v>534</v>
      </c>
      <c r="Q151" s="26" t="s">
        <v>93</v>
      </c>
      <c r="R151" s="26">
        <v>8.5</v>
      </c>
      <c r="S151" s="1" t="s">
        <v>101</v>
      </c>
      <c r="T151" s="43">
        <v>33</v>
      </c>
      <c r="U151" s="1" t="s">
        <v>101</v>
      </c>
      <c r="V151" s="1" t="s">
        <v>101</v>
      </c>
      <c r="W151" s="2">
        <v>25</v>
      </c>
      <c r="X151" s="47" t="s">
        <v>101</v>
      </c>
      <c r="Y151" s="15" t="s">
        <v>581</v>
      </c>
      <c r="Z151" s="15"/>
      <c r="AA151" s="2" t="s">
        <v>586</v>
      </c>
      <c r="AB151" s="2" t="s">
        <v>577</v>
      </c>
      <c r="AC151" s="2" t="s">
        <v>846</v>
      </c>
      <c r="AD151" s="2" t="s">
        <v>575</v>
      </c>
      <c r="AE151" s="47" t="s">
        <v>940</v>
      </c>
      <c r="AF151" s="1" t="s">
        <v>573</v>
      </c>
      <c r="AG151" s="26" t="s">
        <v>966</v>
      </c>
      <c r="AH151" s="2" t="s">
        <v>101</v>
      </c>
      <c r="AI151" s="47" t="s">
        <v>914</v>
      </c>
      <c r="AK151" s="2" t="s">
        <v>101</v>
      </c>
      <c r="AL151" s="2" t="s">
        <v>101</v>
      </c>
      <c r="AM151" s="1">
        <v>18.7</v>
      </c>
      <c r="AN151" s="1" t="s">
        <v>101</v>
      </c>
      <c r="AO151" s="1">
        <v>6.6</v>
      </c>
      <c r="AP151" s="1">
        <v>18</v>
      </c>
      <c r="AQ151" s="1" t="s">
        <v>101</v>
      </c>
      <c r="AR151" s="1">
        <v>5.9</v>
      </c>
      <c r="AS151" s="1" t="s">
        <v>101</v>
      </c>
      <c r="AT151" s="2">
        <f t="shared" si="41"/>
        <v>3.7433155080213867</v>
      </c>
      <c r="AU151" s="47">
        <v>3.7433155080213867</v>
      </c>
      <c r="AV151" s="1" t="s">
        <v>101</v>
      </c>
      <c r="AW151" s="2" t="s">
        <v>591</v>
      </c>
      <c r="AX151" s="36"/>
      <c r="AY151" s="1"/>
    </row>
    <row r="152" spans="1:51" s="2" customFormat="1" ht="27.75" customHeight="1" x14ac:dyDescent="0.35">
      <c r="A152" s="1">
        <v>36</v>
      </c>
      <c r="B152" s="2" t="s">
        <v>556</v>
      </c>
      <c r="C152" s="2" t="s">
        <v>557</v>
      </c>
      <c r="D152" s="2" t="s">
        <v>138</v>
      </c>
      <c r="E152" s="28" t="s">
        <v>101</v>
      </c>
      <c r="F152" s="2" t="s">
        <v>562</v>
      </c>
      <c r="G152" s="2" t="s">
        <v>568</v>
      </c>
      <c r="J152" s="2" t="s">
        <v>880</v>
      </c>
      <c r="K152" s="5" t="s">
        <v>571</v>
      </c>
      <c r="L152" s="5" t="s">
        <v>572</v>
      </c>
      <c r="M152" s="2" t="s">
        <v>567</v>
      </c>
      <c r="N152" s="47" t="s">
        <v>886</v>
      </c>
      <c r="O152" s="2" t="s">
        <v>558</v>
      </c>
      <c r="P152" s="47" t="s">
        <v>534</v>
      </c>
      <c r="Q152" s="26" t="s">
        <v>93</v>
      </c>
      <c r="R152" s="26">
        <v>8.5</v>
      </c>
      <c r="S152" s="1" t="s">
        <v>101</v>
      </c>
      <c r="T152" s="43">
        <v>87</v>
      </c>
      <c r="U152" s="1" t="s">
        <v>101</v>
      </c>
      <c r="V152" s="1" t="s">
        <v>101</v>
      </c>
      <c r="W152" s="2">
        <v>50</v>
      </c>
      <c r="X152" s="47" t="s">
        <v>101</v>
      </c>
      <c r="Y152" s="15" t="s">
        <v>581</v>
      </c>
      <c r="Z152" s="15"/>
      <c r="AA152" s="2" t="s">
        <v>586</v>
      </c>
      <c r="AB152" s="2" t="s">
        <v>577</v>
      </c>
      <c r="AC152" s="2" t="s">
        <v>846</v>
      </c>
      <c r="AD152" s="2" t="s">
        <v>576</v>
      </c>
      <c r="AE152" s="47" t="s">
        <v>940</v>
      </c>
      <c r="AF152" s="1" t="s">
        <v>574</v>
      </c>
      <c r="AG152" s="26" t="s">
        <v>966</v>
      </c>
      <c r="AH152" s="2" t="s">
        <v>101</v>
      </c>
      <c r="AI152" s="47" t="s">
        <v>914</v>
      </c>
      <c r="AK152" s="2" t="s">
        <v>101</v>
      </c>
      <c r="AL152" s="2" t="s">
        <v>101</v>
      </c>
      <c r="AM152" s="1">
        <v>35</v>
      </c>
      <c r="AN152" s="1" t="s">
        <v>101</v>
      </c>
      <c r="AO152" s="1">
        <v>29.8</v>
      </c>
      <c r="AP152" s="1">
        <v>24.7</v>
      </c>
      <c r="AQ152" s="1" t="s">
        <v>101</v>
      </c>
      <c r="AR152" s="1">
        <v>21.4</v>
      </c>
      <c r="AS152" s="1" t="s">
        <v>101</v>
      </c>
      <c r="AT152" s="2">
        <f t="shared" si="41"/>
        <v>29.428571428571431</v>
      </c>
      <c r="AU152" s="47">
        <v>29.428571428571431</v>
      </c>
      <c r="AV152" s="1" t="s">
        <v>101</v>
      </c>
      <c r="AW152" s="2" t="s">
        <v>591</v>
      </c>
      <c r="AX152" s="36"/>
      <c r="AY152" s="1"/>
    </row>
    <row r="153" spans="1:51" s="2" customFormat="1" ht="27.75" customHeight="1" x14ac:dyDescent="0.35">
      <c r="A153" s="1">
        <v>36</v>
      </c>
      <c r="B153" s="2" t="s">
        <v>556</v>
      </c>
      <c r="C153" s="2" t="s">
        <v>557</v>
      </c>
      <c r="D153" s="2" t="s">
        <v>138</v>
      </c>
      <c r="E153" s="28" t="s">
        <v>101</v>
      </c>
      <c r="F153" s="2" t="s">
        <v>563</v>
      </c>
      <c r="G153" s="2" t="s">
        <v>570</v>
      </c>
      <c r="J153" s="2" t="s">
        <v>882</v>
      </c>
      <c r="K153" s="5" t="s">
        <v>571</v>
      </c>
      <c r="L153" s="5" t="s">
        <v>572</v>
      </c>
      <c r="M153" s="2" t="s">
        <v>569</v>
      </c>
      <c r="N153" s="47" t="s">
        <v>886</v>
      </c>
      <c r="O153" s="2" t="s">
        <v>558</v>
      </c>
      <c r="P153" s="47" t="s">
        <v>534</v>
      </c>
      <c r="Q153" s="26" t="s">
        <v>93</v>
      </c>
      <c r="R153" s="26">
        <v>9.3000000000000007</v>
      </c>
      <c r="S153" s="1" t="s">
        <v>101</v>
      </c>
      <c r="T153" s="43">
        <v>40</v>
      </c>
      <c r="U153" s="1" t="s">
        <v>101</v>
      </c>
      <c r="V153" s="1" t="s">
        <v>101</v>
      </c>
      <c r="W153" s="2">
        <v>25</v>
      </c>
      <c r="X153" s="47" t="s">
        <v>101</v>
      </c>
      <c r="Y153" s="15" t="s">
        <v>582</v>
      </c>
      <c r="Z153" s="15"/>
      <c r="AA153" s="2" t="s">
        <v>588</v>
      </c>
      <c r="AB153" s="2" t="s">
        <v>577</v>
      </c>
      <c r="AC153" s="2" t="s">
        <v>846</v>
      </c>
      <c r="AD153" s="2" t="s">
        <v>575</v>
      </c>
      <c r="AE153" s="47" t="s">
        <v>940</v>
      </c>
      <c r="AF153" s="1" t="s">
        <v>573</v>
      </c>
      <c r="AG153" s="26" t="s">
        <v>966</v>
      </c>
      <c r="AH153" s="2" t="s">
        <v>101</v>
      </c>
      <c r="AI153" s="47" t="s">
        <v>914</v>
      </c>
      <c r="AK153" s="2" t="s">
        <v>101</v>
      </c>
      <c r="AL153" s="2" t="s">
        <v>101</v>
      </c>
      <c r="AM153" s="1">
        <v>9</v>
      </c>
      <c r="AN153" s="1" t="s">
        <v>101</v>
      </c>
      <c r="AO153" s="1">
        <v>4.5999999999999996</v>
      </c>
      <c r="AP153" s="1">
        <v>16</v>
      </c>
      <c r="AQ153" s="1" t="s">
        <v>101</v>
      </c>
      <c r="AR153" s="1">
        <v>6.3</v>
      </c>
      <c r="AS153" s="1" t="s">
        <v>101</v>
      </c>
      <c r="AT153" s="2">
        <f t="shared" si="41"/>
        <v>-77.777777777777786</v>
      </c>
      <c r="AU153" s="47">
        <v>-77.777777777777786</v>
      </c>
      <c r="AV153" s="1" t="s">
        <v>101</v>
      </c>
      <c r="AW153" s="2" t="s">
        <v>591</v>
      </c>
      <c r="AX153" s="36"/>
      <c r="AY153" s="1"/>
    </row>
    <row r="154" spans="1:51" s="2" customFormat="1" ht="27.75" customHeight="1" x14ac:dyDescent="0.35">
      <c r="A154" s="1">
        <v>36</v>
      </c>
      <c r="B154" s="2" t="s">
        <v>556</v>
      </c>
      <c r="C154" s="2" t="s">
        <v>557</v>
      </c>
      <c r="D154" s="2" t="s">
        <v>138</v>
      </c>
      <c r="E154" s="28" t="s">
        <v>101</v>
      </c>
      <c r="F154" s="2" t="s">
        <v>563</v>
      </c>
      <c r="G154" s="2" t="s">
        <v>570</v>
      </c>
      <c r="J154" s="2" t="s">
        <v>882</v>
      </c>
      <c r="K154" s="5" t="s">
        <v>571</v>
      </c>
      <c r="L154" s="5" t="s">
        <v>572</v>
      </c>
      <c r="M154" s="2" t="s">
        <v>569</v>
      </c>
      <c r="N154" s="47" t="s">
        <v>886</v>
      </c>
      <c r="O154" s="2" t="s">
        <v>558</v>
      </c>
      <c r="P154" s="47" t="s">
        <v>534</v>
      </c>
      <c r="Q154" s="26" t="s">
        <v>93</v>
      </c>
      <c r="R154" s="26">
        <v>9.3000000000000007</v>
      </c>
      <c r="S154" s="1" t="s">
        <v>101</v>
      </c>
      <c r="T154" s="43">
        <v>71</v>
      </c>
      <c r="U154" s="1" t="s">
        <v>101</v>
      </c>
      <c r="V154" s="1" t="s">
        <v>101</v>
      </c>
      <c r="W154" s="2">
        <v>50</v>
      </c>
      <c r="X154" s="47" t="s">
        <v>101</v>
      </c>
      <c r="Y154" s="15" t="s">
        <v>582</v>
      </c>
      <c r="Z154" s="15"/>
      <c r="AA154" s="2" t="s">
        <v>588</v>
      </c>
      <c r="AB154" s="2" t="s">
        <v>577</v>
      </c>
      <c r="AC154" s="2" t="s">
        <v>846</v>
      </c>
      <c r="AD154" s="2" t="s">
        <v>576</v>
      </c>
      <c r="AE154" s="47" t="s">
        <v>940</v>
      </c>
      <c r="AF154" s="1" t="s">
        <v>574</v>
      </c>
      <c r="AG154" s="26" t="s">
        <v>966</v>
      </c>
      <c r="AH154" s="2" t="s">
        <v>101</v>
      </c>
      <c r="AI154" s="47" t="s">
        <v>914</v>
      </c>
      <c r="AK154" s="2" t="s">
        <v>101</v>
      </c>
      <c r="AL154" s="2" t="s">
        <v>101</v>
      </c>
      <c r="AM154" s="1">
        <v>34.299999999999997</v>
      </c>
      <c r="AN154" s="1" t="s">
        <v>101</v>
      </c>
      <c r="AO154" s="1">
        <v>22.9</v>
      </c>
      <c r="AP154" s="1">
        <v>20</v>
      </c>
      <c r="AQ154" s="1" t="s">
        <v>101</v>
      </c>
      <c r="AR154" s="1">
        <v>14.6</v>
      </c>
      <c r="AS154" s="1" t="s">
        <v>101</v>
      </c>
      <c r="AT154" s="2">
        <f t="shared" si="41"/>
        <v>41.690962099125365</v>
      </c>
      <c r="AU154" s="47">
        <v>41.690962099125365</v>
      </c>
      <c r="AV154" s="1" t="s">
        <v>101</v>
      </c>
      <c r="AW154" s="2" t="s">
        <v>591</v>
      </c>
      <c r="AX154" s="36"/>
      <c r="AY154" s="1"/>
    </row>
    <row r="155" spans="1:51" s="2" customFormat="1" ht="27.75" customHeight="1" x14ac:dyDescent="0.35">
      <c r="A155" s="1">
        <v>36</v>
      </c>
      <c r="B155" s="2" t="s">
        <v>556</v>
      </c>
      <c r="C155" s="2" t="s">
        <v>557</v>
      </c>
      <c r="D155" s="2" t="s">
        <v>138</v>
      </c>
      <c r="E155" s="28" t="s">
        <v>101</v>
      </c>
      <c r="F155" s="2" t="s">
        <v>564</v>
      </c>
      <c r="G155" s="2" t="s">
        <v>568</v>
      </c>
      <c r="J155" s="2" t="s">
        <v>880</v>
      </c>
      <c r="K155" s="5" t="s">
        <v>571</v>
      </c>
      <c r="L155" s="5" t="s">
        <v>572</v>
      </c>
      <c r="M155" s="2" t="s">
        <v>567</v>
      </c>
      <c r="N155" s="47" t="s">
        <v>886</v>
      </c>
      <c r="O155" s="2" t="s">
        <v>558</v>
      </c>
      <c r="P155" s="47" t="s">
        <v>534</v>
      </c>
      <c r="Q155" s="26" t="s">
        <v>93</v>
      </c>
      <c r="R155" s="26">
        <v>10.8</v>
      </c>
      <c r="S155" s="1" t="s">
        <v>101</v>
      </c>
      <c r="T155" s="43">
        <v>35</v>
      </c>
      <c r="U155" s="1" t="s">
        <v>101</v>
      </c>
      <c r="V155" s="1" t="s">
        <v>101</v>
      </c>
      <c r="W155" s="2">
        <v>25</v>
      </c>
      <c r="X155" s="47" t="s">
        <v>101</v>
      </c>
      <c r="Y155" s="15" t="s">
        <v>584</v>
      </c>
      <c r="Z155" s="15"/>
      <c r="AA155" s="2" t="s">
        <v>589</v>
      </c>
      <c r="AB155" s="2" t="s">
        <v>577</v>
      </c>
      <c r="AC155" s="2" t="s">
        <v>846</v>
      </c>
      <c r="AD155" s="2" t="s">
        <v>575</v>
      </c>
      <c r="AE155" s="47" t="s">
        <v>940</v>
      </c>
      <c r="AF155" s="1" t="s">
        <v>573</v>
      </c>
      <c r="AG155" s="26" t="s">
        <v>966</v>
      </c>
      <c r="AH155" s="2" t="s">
        <v>101</v>
      </c>
      <c r="AI155" s="47" t="s">
        <v>914</v>
      </c>
      <c r="AK155" s="2" t="s">
        <v>101</v>
      </c>
      <c r="AL155" s="2" t="s">
        <v>101</v>
      </c>
      <c r="AM155" s="1">
        <v>31.7</v>
      </c>
      <c r="AN155" s="1" t="s">
        <v>101</v>
      </c>
      <c r="AO155" s="1">
        <v>12.4</v>
      </c>
      <c r="AP155" s="1">
        <v>38.700000000000003</v>
      </c>
      <c r="AQ155" s="1" t="s">
        <v>101</v>
      </c>
      <c r="AR155" s="1">
        <v>13.3</v>
      </c>
      <c r="AS155" s="1" t="s">
        <v>101</v>
      </c>
      <c r="AT155" s="2">
        <f>((AM155-AP155)/AM155)*100</f>
        <v>-22.082018927444807</v>
      </c>
      <c r="AU155" s="47">
        <v>-22.082018927444807</v>
      </c>
      <c r="AV155" s="1" t="s">
        <v>101</v>
      </c>
      <c r="AW155" s="2" t="s">
        <v>591</v>
      </c>
      <c r="AX155" s="36"/>
      <c r="AY155" s="1"/>
    </row>
    <row r="156" spans="1:51" s="2" customFormat="1" ht="27.75" customHeight="1" x14ac:dyDescent="0.35">
      <c r="A156" s="1">
        <v>36</v>
      </c>
      <c r="B156" s="2" t="s">
        <v>556</v>
      </c>
      <c r="C156" s="2" t="s">
        <v>557</v>
      </c>
      <c r="D156" s="2" t="s">
        <v>138</v>
      </c>
      <c r="E156" s="28" t="s">
        <v>101</v>
      </c>
      <c r="F156" s="2" t="s">
        <v>564</v>
      </c>
      <c r="G156" s="2" t="s">
        <v>568</v>
      </c>
      <c r="J156" s="2" t="s">
        <v>880</v>
      </c>
      <c r="K156" s="5" t="s">
        <v>571</v>
      </c>
      <c r="L156" s="5" t="s">
        <v>572</v>
      </c>
      <c r="M156" s="2" t="s">
        <v>567</v>
      </c>
      <c r="N156" s="47" t="s">
        <v>886</v>
      </c>
      <c r="O156" s="2" t="s">
        <v>558</v>
      </c>
      <c r="P156" s="47" t="s">
        <v>534</v>
      </c>
      <c r="Q156" s="26" t="s">
        <v>93</v>
      </c>
      <c r="R156" s="26">
        <v>10.8</v>
      </c>
      <c r="S156" s="1" t="s">
        <v>101</v>
      </c>
      <c r="T156" s="43">
        <v>69</v>
      </c>
      <c r="U156" s="1" t="s">
        <v>101</v>
      </c>
      <c r="V156" s="1" t="s">
        <v>101</v>
      </c>
      <c r="W156" s="2">
        <v>50</v>
      </c>
      <c r="X156" s="47" t="s">
        <v>101</v>
      </c>
      <c r="Y156" s="15" t="s">
        <v>584</v>
      </c>
      <c r="Z156" s="15"/>
      <c r="AA156" s="2" t="s">
        <v>589</v>
      </c>
      <c r="AB156" s="2" t="s">
        <v>577</v>
      </c>
      <c r="AC156" s="2" t="s">
        <v>846</v>
      </c>
      <c r="AD156" s="2" t="s">
        <v>576</v>
      </c>
      <c r="AE156" s="47" t="s">
        <v>940</v>
      </c>
      <c r="AF156" s="1" t="s">
        <v>574</v>
      </c>
      <c r="AG156" s="26" t="s">
        <v>966</v>
      </c>
      <c r="AH156" s="2" t="s">
        <v>101</v>
      </c>
      <c r="AI156" s="47" t="s">
        <v>914</v>
      </c>
      <c r="AK156" s="2" t="s">
        <v>101</v>
      </c>
      <c r="AL156" s="2" t="s">
        <v>101</v>
      </c>
      <c r="AM156" s="1">
        <v>30.3</v>
      </c>
      <c r="AN156" s="1" t="s">
        <v>101</v>
      </c>
      <c r="AO156" s="1">
        <v>23.7</v>
      </c>
      <c r="AP156" s="1">
        <v>21.3</v>
      </c>
      <c r="AQ156" s="1" t="s">
        <v>101</v>
      </c>
      <c r="AR156" s="1">
        <v>14.7</v>
      </c>
      <c r="AS156" s="1" t="s">
        <v>101</v>
      </c>
      <c r="AT156" s="2">
        <f t="shared" si="41"/>
        <v>29.702970297029701</v>
      </c>
      <c r="AU156" s="47">
        <v>29.702970297029701</v>
      </c>
      <c r="AV156" s="1" t="s">
        <v>101</v>
      </c>
      <c r="AW156" s="2" t="s">
        <v>591</v>
      </c>
      <c r="AX156" s="36"/>
      <c r="AY156" s="1"/>
    </row>
    <row r="157" spans="1:51" s="2" customFormat="1" ht="27.75" customHeight="1" x14ac:dyDescent="0.35">
      <c r="A157" s="1">
        <v>36</v>
      </c>
      <c r="B157" s="2" t="s">
        <v>556</v>
      </c>
      <c r="C157" s="2" t="s">
        <v>557</v>
      </c>
      <c r="D157" s="2" t="s">
        <v>138</v>
      </c>
      <c r="E157" s="28" t="s">
        <v>101</v>
      </c>
      <c r="F157" s="2" t="s">
        <v>565</v>
      </c>
      <c r="G157" s="2" t="s">
        <v>568</v>
      </c>
      <c r="J157" s="2" t="s">
        <v>880</v>
      </c>
      <c r="K157" s="5" t="s">
        <v>571</v>
      </c>
      <c r="L157" s="5" t="s">
        <v>572</v>
      </c>
      <c r="M157" s="2" t="s">
        <v>567</v>
      </c>
      <c r="N157" s="47" t="s">
        <v>886</v>
      </c>
      <c r="O157" s="2" t="s">
        <v>558</v>
      </c>
      <c r="P157" s="47" t="s">
        <v>534</v>
      </c>
      <c r="Q157" s="26" t="s">
        <v>93</v>
      </c>
      <c r="R157" s="26">
        <v>12.6</v>
      </c>
      <c r="S157" s="1" t="s">
        <v>101</v>
      </c>
      <c r="T157" s="43">
        <v>30</v>
      </c>
      <c r="U157" s="1" t="s">
        <v>101</v>
      </c>
      <c r="V157" s="1" t="s">
        <v>101</v>
      </c>
      <c r="W157" s="2">
        <v>25</v>
      </c>
      <c r="X157" s="47" t="s">
        <v>101</v>
      </c>
      <c r="Y157" s="15" t="s">
        <v>583</v>
      </c>
      <c r="Z157" s="15"/>
      <c r="AA157" s="2" t="s">
        <v>590</v>
      </c>
      <c r="AB157" s="2" t="s">
        <v>577</v>
      </c>
      <c r="AC157" s="2" t="s">
        <v>846</v>
      </c>
      <c r="AD157" s="2" t="s">
        <v>575</v>
      </c>
      <c r="AE157" s="47" t="s">
        <v>940</v>
      </c>
      <c r="AF157" s="1" t="s">
        <v>573</v>
      </c>
      <c r="AG157" s="26" t="s">
        <v>966</v>
      </c>
      <c r="AH157" s="2" t="s">
        <v>101</v>
      </c>
      <c r="AI157" s="47" t="s">
        <v>914</v>
      </c>
      <c r="AK157" s="2" t="s">
        <v>101</v>
      </c>
      <c r="AL157" s="2" t="s">
        <v>101</v>
      </c>
      <c r="AM157" s="1">
        <v>7.3</v>
      </c>
      <c r="AN157" s="1" t="s">
        <v>101</v>
      </c>
      <c r="AO157" s="1">
        <v>7.2</v>
      </c>
      <c r="AP157" s="1">
        <v>4.9000000000000004</v>
      </c>
      <c r="AQ157" s="1" t="s">
        <v>101</v>
      </c>
      <c r="AR157" s="1">
        <v>4.9000000000000004</v>
      </c>
      <c r="AS157" s="1" t="s">
        <v>101</v>
      </c>
      <c r="AT157" s="2">
        <f t="shared" si="41"/>
        <v>32.876712328767113</v>
      </c>
      <c r="AU157" s="47">
        <v>32.876712328767113</v>
      </c>
      <c r="AV157" s="1" t="s">
        <v>101</v>
      </c>
      <c r="AW157" s="2" t="s">
        <v>591</v>
      </c>
      <c r="AX157" s="36"/>
      <c r="AY157" s="1"/>
    </row>
    <row r="158" spans="1:51" s="2" customFormat="1" ht="27.75" customHeight="1" x14ac:dyDescent="0.35">
      <c r="A158" s="1">
        <v>36</v>
      </c>
      <c r="B158" s="2" t="s">
        <v>556</v>
      </c>
      <c r="C158" s="2" t="s">
        <v>557</v>
      </c>
      <c r="D158" s="2" t="s">
        <v>138</v>
      </c>
      <c r="E158" s="28" t="s">
        <v>101</v>
      </c>
      <c r="F158" s="2" t="s">
        <v>565</v>
      </c>
      <c r="G158" s="2" t="s">
        <v>568</v>
      </c>
      <c r="J158" s="2" t="s">
        <v>880</v>
      </c>
      <c r="K158" s="5" t="s">
        <v>571</v>
      </c>
      <c r="L158" s="5" t="s">
        <v>572</v>
      </c>
      <c r="M158" s="2" t="s">
        <v>567</v>
      </c>
      <c r="N158" s="47" t="s">
        <v>886</v>
      </c>
      <c r="O158" s="2" t="s">
        <v>558</v>
      </c>
      <c r="P158" s="47" t="s">
        <v>534</v>
      </c>
      <c r="Q158" s="26" t="s">
        <v>93</v>
      </c>
      <c r="R158" s="26">
        <v>12.6</v>
      </c>
      <c r="S158" s="1" t="s">
        <v>101</v>
      </c>
      <c r="T158" s="43">
        <v>82</v>
      </c>
      <c r="U158" s="1" t="s">
        <v>101</v>
      </c>
      <c r="V158" s="1" t="s">
        <v>101</v>
      </c>
      <c r="W158" s="2">
        <v>50</v>
      </c>
      <c r="X158" s="47" t="s">
        <v>101</v>
      </c>
      <c r="Y158" s="15" t="s">
        <v>583</v>
      </c>
      <c r="Z158" s="15"/>
      <c r="AA158" s="2" t="s">
        <v>590</v>
      </c>
      <c r="AB158" s="2" t="s">
        <v>577</v>
      </c>
      <c r="AC158" s="2" t="s">
        <v>846</v>
      </c>
      <c r="AD158" s="2" t="s">
        <v>576</v>
      </c>
      <c r="AE158" s="47" t="s">
        <v>940</v>
      </c>
      <c r="AF158" s="1" t="s">
        <v>574</v>
      </c>
      <c r="AG158" s="26" t="s">
        <v>966</v>
      </c>
      <c r="AH158" s="2" t="s">
        <v>101</v>
      </c>
      <c r="AI158" s="47" t="s">
        <v>914</v>
      </c>
      <c r="AK158" s="2" t="s">
        <v>101</v>
      </c>
      <c r="AL158" s="2" t="s">
        <v>101</v>
      </c>
      <c r="AM158" s="1">
        <v>27.8</v>
      </c>
      <c r="AN158" s="1" t="s">
        <v>101</v>
      </c>
      <c r="AO158" s="1">
        <v>27.8</v>
      </c>
      <c r="AP158" s="1">
        <v>10.8</v>
      </c>
      <c r="AQ158" s="1" t="s">
        <v>101</v>
      </c>
      <c r="AR158" s="1">
        <v>10.8</v>
      </c>
      <c r="AS158" s="1" t="s">
        <v>101</v>
      </c>
      <c r="AT158" s="2">
        <f t="shared" si="41"/>
        <v>61.151079136690647</v>
      </c>
      <c r="AU158" s="47">
        <v>61.151079136690647</v>
      </c>
      <c r="AV158" s="1" t="s">
        <v>101</v>
      </c>
      <c r="AW158" s="2" t="s">
        <v>591</v>
      </c>
      <c r="AX158" s="36"/>
      <c r="AY158" s="1"/>
    </row>
    <row r="159" spans="1:51" s="2" customFormat="1" ht="27.75" customHeight="1" x14ac:dyDescent="0.35">
      <c r="A159" s="1">
        <v>36</v>
      </c>
      <c r="B159" s="2" t="s">
        <v>556</v>
      </c>
      <c r="C159" s="2" t="s">
        <v>557</v>
      </c>
      <c r="D159" s="2" t="s">
        <v>138</v>
      </c>
      <c r="E159" s="28" t="s">
        <v>101</v>
      </c>
      <c r="F159" s="2" t="s">
        <v>566</v>
      </c>
      <c r="G159" s="2" t="s">
        <v>570</v>
      </c>
      <c r="J159" s="2" t="s">
        <v>882</v>
      </c>
      <c r="K159" s="5" t="s">
        <v>571</v>
      </c>
      <c r="L159" s="5" t="s">
        <v>572</v>
      </c>
      <c r="M159" s="2" t="s">
        <v>569</v>
      </c>
      <c r="N159" s="47" t="s">
        <v>886</v>
      </c>
      <c r="O159" s="2" t="s">
        <v>558</v>
      </c>
      <c r="P159" s="47" t="s">
        <v>534</v>
      </c>
      <c r="Q159" s="26" t="s">
        <v>93</v>
      </c>
      <c r="R159" s="26">
        <v>11.3</v>
      </c>
      <c r="S159" s="1" t="s">
        <v>101</v>
      </c>
      <c r="T159" s="43">
        <v>30</v>
      </c>
      <c r="U159" s="1" t="s">
        <v>101</v>
      </c>
      <c r="V159" s="1" t="s">
        <v>101</v>
      </c>
      <c r="W159" s="2">
        <v>25</v>
      </c>
      <c r="X159" s="47" t="s">
        <v>101</v>
      </c>
      <c r="Y159" s="15" t="s">
        <v>585</v>
      </c>
      <c r="Z159" s="15"/>
      <c r="AA159" s="2" t="s">
        <v>481</v>
      </c>
      <c r="AB159" s="2" t="s">
        <v>577</v>
      </c>
      <c r="AC159" s="2" t="s">
        <v>846</v>
      </c>
      <c r="AD159" s="2" t="s">
        <v>575</v>
      </c>
      <c r="AE159" s="47" t="s">
        <v>940</v>
      </c>
      <c r="AF159" s="1" t="s">
        <v>573</v>
      </c>
      <c r="AG159" s="26" t="s">
        <v>966</v>
      </c>
      <c r="AH159" s="2" t="s">
        <v>101</v>
      </c>
      <c r="AI159" s="47" t="s">
        <v>914</v>
      </c>
      <c r="AK159" s="2" t="s">
        <v>101</v>
      </c>
      <c r="AL159" s="2" t="s">
        <v>101</v>
      </c>
      <c r="AM159" s="1">
        <v>8.3000000000000007</v>
      </c>
      <c r="AN159" s="1" t="s">
        <v>101</v>
      </c>
      <c r="AO159" s="1">
        <v>2.4</v>
      </c>
      <c r="AP159" s="1">
        <v>5.3</v>
      </c>
      <c r="AQ159" s="1" t="s">
        <v>101</v>
      </c>
      <c r="AR159" s="1">
        <v>1.6</v>
      </c>
      <c r="AS159" s="1" t="s">
        <v>101</v>
      </c>
      <c r="AT159" s="2">
        <f t="shared" si="41"/>
        <v>36.144578313253021</v>
      </c>
      <c r="AU159" s="47">
        <v>36.144578313253021</v>
      </c>
      <c r="AV159" s="1" t="s">
        <v>101</v>
      </c>
      <c r="AW159" s="2" t="s">
        <v>591</v>
      </c>
      <c r="AX159" s="36"/>
      <c r="AY159" s="1"/>
    </row>
    <row r="160" spans="1:51" s="11" customFormat="1" ht="27.75" customHeight="1" thickBot="1" x14ac:dyDescent="0.4">
      <c r="A160" s="8">
        <v>36</v>
      </c>
      <c r="B160" s="11" t="s">
        <v>556</v>
      </c>
      <c r="C160" s="11" t="s">
        <v>557</v>
      </c>
      <c r="D160" s="11" t="s">
        <v>138</v>
      </c>
      <c r="E160" s="29" t="s">
        <v>101</v>
      </c>
      <c r="F160" s="11" t="s">
        <v>566</v>
      </c>
      <c r="G160" s="11" t="s">
        <v>570</v>
      </c>
      <c r="J160" s="2" t="s">
        <v>882</v>
      </c>
      <c r="K160" s="9" t="s">
        <v>571</v>
      </c>
      <c r="L160" s="9" t="s">
        <v>572</v>
      </c>
      <c r="M160" s="11" t="s">
        <v>569</v>
      </c>
      <c r="N160" s="47" t="s">
        <v>886</v>
      </c>
      <c r="O160" s="11" t="s">
        <v>558</v>
      </c>
      <c r="P160" s="47" t="s">
        <v>534</v>
      </c>
      <c r="Q160" s="27" t="s">
        <v>93</v>
      </c>
      <c r="R160" s="27">
        <v>11.3</v>
      </c>
      <c r="S160" s="8" t="s">
        <v>101</v>
      </c>
      <c r="T160" s="44">
        <v>59</v>
      </c>
      <c r="U160" s="8" t="s">
        <v>101</v>
      </c>
      <c r="V160" s="8" t="s">
        <v>101</v>
      </c>
      <c r="W160" s="11">
        <v>50</v>
      </c>
      <c r="X160" s="49" t="s">
        <v>101</v>
      </c>
      <c r="Y160" s="17" t="s">
        <v>585</v>
      </c>
      <c r="Z160" s="17"/>
      <c r="AA160" s="11" t="s">
        <v>481</v>
      </c>
      <c r="AB160" s="11" t="s">
        <v>577</v>
      </c>
      <c r="AC160" s="2" t="s">
        <v>846</v>
      </c>
      <c r="AD160" s="11" t="s">
        <v>576</v>
      </c>
      <c r="AE160" s="47" t="s">
        <v>940</v>
      </c>
      <c r="AF160" s="8" t="s">
        <v>574</v>
      </c>
      <c r="AG160" s="26" t="s">
        <v>966</v>
      </c>
      <c r="AH160" s="11" t="s">
        <v>101</v>
      </c>
      <c r="AI160" s="47" t="s">
        <v>914</v>
      </c>
      <c r="AK160" s="11" t="s">
        <v>101</v>
      </c>
      <c r="AL160" s="11" t="s">
        <v>101</v>
      </c>
      <c r="AM160" s="8">
        <v>16.3</v>
      </c>
      <c r="AN160" s="8" t="s">
        <v>101</v>
      </c>
      <c r="AO160" s="8">
        <v>9.5</v>
      </c>
      <c r="AP160" s="8">
        <v>9.6999999999999993</v>
      </c>
      <c r="AQ160" s="8" t="s">
        <v>101</v>
      </c>
      <c r="AR160" s="8">
        <v>5.8</v>
      </c>
      <c r="AS160" s="8" t="s">
        <v>101</v>
      </c>
      <c r="AT160" s="11">
        <f t="shared" si="41"/>
        <v>40.490797546012274</v>
      </c>
      <c r="AU160" s="49">
        <v>40.490797546012274</v>
      </c>
      <c r="AV160" s="8" t="s">
        <v>101</v>
      </c>
      <c r="AW160" s="11" t="s">
        <v>591</v>
      </c>
      <c r="AX160" s="37"/>
      <c r="AY160" s="8"/>
    </row>
    <row r="161" spans="1:51" s="2" customFormat="1" ht="27.75" customHeight="1" thickTop="1" x14ac:dyDescent="0.35">
      <c r="A161" s="1">
        <v>37</v>
      </c>
      <c r="B161" s="2" t="s">
        <v>592</v>
      </c>
      <c r="C161" s="2" t="s">
        <v>593</v>
      </c>
      <c r="D161" s="2" t="s">
        <v>596</v>
      </c>
      <c r="E161" s="28" t="s">
        <v>873</v>
      </c>
      <c r="F161" s="2" t="s">
        <v>595</v>
      </c>
      <c r="G161" s="2" t="s">
        <v>599</v>
      </c>
      <c r="J161" s="2" t="s">
        <v>882</v>
      </c>
      <c r="K161" s="1">
        <v>2008</v>
      </c>
      <c r="L161" s="1">
        <v>2008</v>
      </c>
      <c r="M161" s="2" t="s">
        <v>597</v>
      </c>
      <c r="N161" s="47" t="s">
        <v>884</v>
      </c>
      <c r="O161" s="2" t="s">
        <v>594</v>
      </c>
      <c r="P161" s="47" t="s">
        <v>411</v>
      </c>
      <c r="Q161" s="26" t="s">
        <v>319</v>
      </c>
      <c r="R161" s="26" t="s">
        <v>101</v>
      </c>
      <c r="S161" s="1" t="s">
        <v>101</v>
      </c>
      <c r="T161" s="1" t="s">
        <v>101</v>
      </c>
      <c r="U161" s="1" t="s">
        <v>101</v>
      </c>
      <c r="V161" s="1" t="s">
        <v>101</v>
      </c>
      <c r="W161" s="2">
        <v>6.7</v>
      </c>
      <c r="X161" s="47" t="s">
        <v>101</v>
      </c>
      <c r="Y161" s="15" t="s">
        <v>101</v>
      </c>
      <c r="Z161" s="15"/>
      <c r="AA161" s="15" t="s">
        <v>101</v>
      </c>
      <c r="AB161" s="15" t="s">
        <v>101</v>
      </c>
      <c r="AC161" s="15" t="s">
        <v>101</v>
      </c>
      <c r="AD161" s="2" t="s">
        <v>598</v>
      </c>
      <c r="AE161" s="47" t="s">
        <v>945</v>
      </c>
      <c r="AF161" s="2" t="s">
        <v>408</v>
      </c>
      <c r="AG161" s="26" t="s">
        <v>966</v>
      </c>
      <c r="AH161" s="2" t="s">
        <v>101</v>
      </c>
      <c r="AI161" s="47" t="s">
        <v>914</v>
      </c>
      <c r="AK161" s="2" t="s">
        <v>101</v>
      </c>
      <c r="AL161" s="2" t="s">
        <v>101</v>
      </c>
      <c r="AM161" s="2" t="s">
        <v>101</v>
      </c>
      <c r="AN161" s="2" t="s">
        <v>101</v>
      </c>
      <c r="AO161" s="2" t="s">
        <v>101</v>
      </c>
      <c r="AP161" s="2" t="s">
        <v>101</v>
      </c>
      <c r="AQ161" s="2" t="s">
        <v>101</v>
      </c>
      <c r="AR161" s="2" t="s">
        <v>101</v>
      </c>
      <c r="AS161" s="2" t="s">
        <v>101</v>
      </c>
      <c r="AT161" s="2">
        <v>95</v>
      </c>
      <c r="AU161" s="47">
        <v>95</v>
      </c>
      <c r="AV161" s="2" t="s">
        <v>101</v>
      </c>
      <c r="AW161" s="2" t="s">
        <v>600</v>
      </c>
      <c r="AX161" s="1"/>
      <c r="AY161" s="1"/>
    </row>
    <row r="162" spans="1:51" s="2" customFormat="1" ht="27.75" customHeight="1" x14ac:dyDescent="0.35">
      <c r="A162" s="1">
        <v>38</v>
      </c>
      <c r="B162" s="2" t="s">
        <v>601</v>
      </c>
      <c r="C162" s="2" t="s">
        <v>602</v>
      </c>
      <c r="D162" s="2" t="s">
        <v>596</v>
      </c>
      <c r="E162" s="28" t="s">
        <v>873</v>
      </c>
      <c r="F162" s="2" t="s">
        <v>603</v>
      </c>
      <c r="G162" s="2" t="s">
        <v>604</v>
      </c>
      <c r="H162" s="2">
        <v>350</v>
      </c>
      <c r="I162" s="2">
        <v>200</v>
      </c>
      <c r="J162" s="2" t="s">
        <v>881</v>
      </c>
      <c r="K162" s="5">
        <v>39661</v>
      </c>
      <c r="L162" s="5">
        <v>39666</v>
      </c>
      <c r="M162" s="2" t="s">
        <v>608</v>
      </c>
      <c r="N162" s="47" t="s">
        <v>885</v>
      </c>
      <c r="O162" s="2" t="s">
        <v>594</v>
      </c>
      <c r="P162" s="47" t="s">
        <v>411</v>
      </c>
      <c r="Q162" s="26" t="s">
        <v>319</v>
      </c>
      <c r="R162" s="26">
        <v>74.3</v>
      </c>
      <c r="S162" s="1" t="s">
        <v>101</v>
      </c>
      <c r="T162" s="1" t="s">
        <v>101</v>
      </c>
      <c r="U162" s="1" t="s">
        <v>101</v>
      </c>
      <c r="V162" s="1">
        <v>8</v>
      </c>
      <c r="W162" s="2">
        <v>5150</v>
      </c>
      <c r="X162" s="47">
        <v>158</v>
      </c>
      <c r="Y162" s="5">
        <v>39661</v>
      </c>
      <c r="Z162" s="5"/>
      <c r="AA162" s="2" t="s">
        <v>606</v>
      </c>
      <c r="AB162" s="2" t="s">
        <v>605</v>
      </c>
      <c r="AC162" s="2" t="s">
        <v>895</v>
      </c>
      <c r="AD162" s="2" t="s">
        <v>610</v>
      </c>
      <c r="AE162" s="47" t="s">
        <v>916</v>
      </c>
      <c r="AF162" s="2" t="s">
        <v>609</v>
      </c>
      <c r="AG162" s="26" t="s">
        <v>966</v>
      </c>
      <c r="AH162" s="2" t="s">
        <v>101</v>
      </c>
      <c r="AI162" s="47" t="s">
        <v>914</v>
      </c>
      <c r="AK162" s="2" t="s">
        <v>101</v>
      </c>
      <c r="AL162" s="2" t="s">
        <v>101</v>
      </c>
      <c r="AM162" s="2" t="s">
        <v>101</v>
      </c>
      <c r="AN162" s="2" t="s">
        <v>101</v>
      </c>
      <c r="AO162" s="1">
        <v>25.126000000000001</v>
      </c>
      <c r="AP162" s="1" t="s">
        <v>101</v>
      </c>
      <c r="AQ162" s="1" t="s">
        <v>101</v>
      </c>
      <c r="AR162" s="1">
        <f>34*0.215</f>
        <v>7.31</v>
      </c>
      <c r="AS162" s="1" t="s">
        <v>101</v>
      </c>
      <c r="AT162" s="2">
        <f t="shared" ref="AT162:AT165" si="42">((AO162-AR162)/AO162)*100</f>
        <v>70.90663058186739</v>
      </c>
      <c r="AU162" s="47">
        <v>70.90663058186739</v>
      </c>
      <c r="AV162" s="1" t="s">
        <v>101</v>
      </c>
      <c r="AW162" s="2" t="s">
        <v>613</v>
      </c>
      <c r="AX162" s="1" t="s">
        <v>612</v>
      </c>
      <c r="AY162" s="1"/>
    </row>
    <row r="163" spans="1:51" s="2" customFormat="1" ht="27.75" customHeight="1" x14ac:dyDescent="0.35">
      <c r="A163" s="1">
        <v>38</v>
      </c>
      <c r="B163" s="2" t="s">
        <v>601</v>
      </c>
      <c r="C163" s="2" t="s">
        <v>602</v>
      </c>
      <c r="D163" s="2" t="s">
        <v>596</v>
      </c>
      <c r="E163" s="28" t="s">
        <v>873</v>
      </c>
      <c r="F163" s="2" t="s">
        <v>603</v>
      </c>
      <c r="G163" s="2" t="s">
        <v>604</v>
      </c>
      <c r="H163" s="2">
        <v>350</v>
      </c>
      <c r="I163" s="2">
        <v>200</v>
      </c>
      <c r="J163" s="2" t="s">
        <v>881</v>
      </c>
      <c r="K163" s="5">
        <v>39661</v>
      </c>
      <c r="L163" s="5">
        <v>39666</v>
      </c>
      <c r="M163" s="2" t="s">
        <v>608</v>
      </c>
      <c r="N163" s="47" t="s">
        <v>885</v>
      </c>
      <c r="O163" s="2" t="s">
        <v>594</v>
      </c>
      <c r="P163" s="47" t="s">
        <v>411</v>
      </c>
      <c r="Q163" s="26" t="s">
        <v>319</v>
      </c>
      <c r="R163" s="26">
        <v>74.3</v>
      </c>
      <c r="S163" s="1" t="s">
        <v>101</v>
      </c>
      <c r="T163" s="1" t="s">
        <v>101</v>
      </c>
      <c r="U163" s="1" t="s">
        <v>101</v>
      </c>
      <c r="V163" s="1">
        <v>8</v>
      </c>
      <c r="W163" s="2">
        <v>5150</v>
      </c>
      <c r="X163" s="47">
        <v>158</v>
      </c>
      <c r="Y163" s="5">
        <v>39661</v>
      </c>
      <c r="Z163" s="5"/>
      <c r="AA163" s="2" t="s">
        <v>606</v>
      </c>
      <c r="AB163" s="2" t="s">
        <v>605</v>
      </c>
      <c r="AC163" s="2" t="s">
        <v>895</v>
      </c>
      <c r="AD163" s="2" t="s">
        <v>611</v>
      </c>
      <c r="AE163" s="47" t="s">
        <v>945</v>
      </c>
      <c r="AF163" s="2" t="s">
        <v>609</v>
      </c>
      <c r="AG163" s="26" t="s">
        <v>966</v>
      </c>
      <c r="AH163" s="2" t="s">
        <v>101</v>
      </c>
      <c r="AI163" s="47" t="s">
        <v>914</v>
      </c>
      <c r="AK163" s="2" t="s">
        <v>101</v>
      </c>
      <c r="AL163" s="2" t="s">
        <v>101</v>
      </c>
      <c r="AM163" s="2" t="s">
        <v>101</v>
      </c>
      <c r="AN163" s="2" t="s">
        <v>101</v>
      </c>
      <c r="AO163" s="1">
        <v>25.126000000000001</v>
      </c>
      <c r="AP163" s="1" t="s">
        <v>101</v>
      </c>
      <c r="AQ163" s="1" t="s">
        <v>101</v>
      </c>
      <c r="AR163" s="1">
        <f>34*0.121</f>
        <v>4.1139999999999999</v>
      </c>
      <c r="AS163" s="1" t="s">
        <v>101</v>
      </c>
      <c r="AT163" s="2">
        <f t="shared" si="42"/>
        <v>83.626522327469559</v>
      </c>
      <c r="AU163" s="47">
        <v>83.626522327469559</v>
      </c>
      <c r="AV163" s="1" t="s">
        <v>101</v>
      </c>
      <c r="AW163" s="2" t="s">
        <v>613</v>
      </c>
      <c r="AX163" s="1"/>
      <c r="AY163" s="1"/>
    </row>
    <row r="164" spans="1:51" s="2" customFormat="1" ht="27.75" customHeight="1" x14ac:dyDescent="0.35">
      <c r="A164" s="1">
        <v>38</v>
      </c>
      <c r="B164" s="2" t="s">
        <v>601</v>
      </c>
      <c r="C164" s="2" t="s">
        <v>602</v>
      </c>
      <c r="D164" s="2" t="s">
        <v>596</v>
      </c>
      <c r="E164" s="28" t="s">
        <v>873</v>
      </c>
      <c r="F164" s="2" t="s">
        <v>603</v>
      </c>
      <c r="G164" s="2" t="s">
        <v>604</v>
      </c>
      <c r="H164" s="2">
        <v>350</v>
      </c>
      <c r="I164" s="2">
        <v>200</v>
      </c>
      <c r="J164" s="2" t="s">
        <v>881</v>
      </c>
      <c r="K164" s="5">
        <v>40021</v>
      </c>
      <c r="L164" s="5">
        <v>40026</v>
      </c>
      <c r="M164" s="2" t="s">
        <v>608</v>
      </c>
      <c r="N164" s="47" t="s">
        <v>885</v>
      </c>
      <c r="O164" s="2" t="s">
        <v>594</v>
      </c>
      <c r="P164" s="47" t="s">
        <v>411</v>
      </c>
      <c r="Q164" s="26" t="s">
        <v>319</v>
      </c>
      <c r="R164" s="26">
        <v>74.400000000000006</v>
      </c>
      <c r="S164" s="1" t="s">
        <v>101</v>
      </c>
      <c r="T164" s="1" t="s">
        <v>101</v>
      </c>
      <c r="U164" s="1" t="s">
        <v>101</v>
      </c>
      <c r="V164" s="1">
        <v>8.4</v>
      </c>
      <c r="W164" s="2">
        <v>4700</v>
      </c>
      <c r="X164" s="47">
        <v>142</v>
      </c>
      <c r="Y164" s="5">
        <v>40021</v>
      </c>
      <c r="Z164" s="5"/>
      <c r="AA164" s="2" t="s">
        <v>607</v>
      </c>
      <c r="AB164" s="2" t="s">
        <v>605</v>
      </c>
      <c r="AC164" s="2" t="s">
        <v>895</v>
      </c>
      <c r="AD164" s="2" t="s">
        <v>610</v>
      </c>
      <c r="AE164" s="47" t="s">
        <v>916</v>
      </c>
      <c r="AF164" s="2" t="s">
        <v>609</v>
      </c>
      <c r="AG164" s="26" t="s">
        <v>966</v>
      </c>
      <c r="AH164" s="2" t="s">
        <v>101</v>
      </c>
      <c r="AI164" s="47" t="s">
        <v>914</v>
      </c>
      <c r="AK164" s="2" t="s">
        <v>101</v>
      </c>
      <c r="AL164" s="2" t="s">
        <v>101</v>
      </c>
      <c r="AM164" s="2" t="s">
        <v>101</v>
      </c>
      <c r="AN164" s="2" t="s">
        <v>101</v>
      </c>
      <c r="AO164" s="1">
        <v>28.56</v>
      </c>
      <c r="AP164" s="1" t="s">
        <v>101</v>
      </c>
      <c r="AQ164" s="1" t="s">
        <v>101</v>
      </c>
      <c r="AR164" s="1">
        <f>30*0.324</f>
        <v>9.7200000000000006</v>
      </c>
      <c r="AS164" s="1" t="s">
        <v>101</v>
      </c>
      <c r="AT164" s="2">
        <f t="shared" si="42"/>
        <v>65.966386554621835</v>
      </c>
      <c r="AU164" s="47">
        <v>65.966386554621835</v>
      </c>
      <c r="AV164" s="1" t="s">
        <v>101</v>
      </c>
      <c r="AW164" s="2" t="s">
        <v>613</v>
      </c>
      <c r="AX164" s="1"/>
      <c r="AY164" s="1"/>
    </row>
    <row r="165" spans="1:51" s="11" customFormat="1" ht="27.75" customHeight="1" thickBot="1" x14ac:dyDescent="0.4">
      <c r="A165" s="8">
        <v>38</v>
      </c>
      <c r="B165" s="11" t="s">
        <v>601</v>
      </c>
      <c r="C165" s="11" t="s">
        <v>602</v>
      </c>
      <c r="D165" s="11" t="s">
        <v>596</v>
      </c>
      <c r="E165" s="29" t="s">
        <v>873</v>
      </c>
      <c r="F165" s="11" t="s">
        <v>603</v>
      </c>
      <c r="G165" s="11" t="s">
        <v>604</v>
      </c>
      <c r="H165" s="2">
        <v>350</v>
      </c>
      <c r="I165" s="2">
        <v>200</v>
      </c>
      <c r="J165" s="2" t="s">
        <v>881</v>
      </c>
      <c r="K165" s="9">
        <v>40021</v>
      </c>
      <c r="L165" s="9">
        <v>40026</v>
      </c>
      <c r="M165" s="11" t="s">
        <v>608</v>
      </c>
      <c r="N165" s="47" t="s">
        <v>885</v>
      </c>
      <c r="O165" s="11" t="s">
        <v>594</v>
      </c>
      <c r="P165" s="47" t="s">
        <v>411</v>
      </c>
      <c r="Q165" s="27" t="s">
        <v>319</v>
      </c>
      <c r="R165" s="27">
        <v>74.400000000000006</v>
      </c>
      <c r="S165" s="8" t="s">
        <v>101</v>
      </c>
      <c r="T165" s="8" t="s">
        <v>101</v>
      </c>
      <c r="U165" s="8" t="s">
        <v>101</v>
      </c>
      <c r="V165" s="8">
        <v>8.4</v>
      </c>
      <c r="W165" s="11">
        <v>4700</v>
      </c>
      <c r="X165" s="49">
        <v>142</v>
      </c>
      <c r="Y165" s="9">
        <v>40021</v>
      </c>
      <c r="Z165" s="9"/>
      <c r="AA165" s="11" t="s">
        <v>607</v>
      </c>
      <c r="AB165" s="11" t="s">
        <v>605</v>
      </c>
      <c r="AC165" s="2" t="s">
        <v>895</v>
      </c>
      <c r="AD165" s="11" t="s">
        <v>611</v>
      </c>
      <c r="AE165" s="47" t="s">
        <v>945</v>
      </c>
      <c r="AF165" s="11" t="s">
        <v>609</v>
      </c>
      <c r="AG165" s="26" t="s">
        <v>966</v>
      </c>
      <c r="AH165" s="11" t="s">
        <v>101</v>
      </c>
      <c r="AI165" s="47" t="s">
        <v>914</v>
      </c>
      <c r="AK165" s="11" t="s">
        <v>101</v>
      </c>
      <c r="AL165" s="11" t="s">
        <v>101</v>
      </c>
      <c r="AM165" s="11" t="s">
        <v>101</v>
      </c>
      <c r="AN165" s="11" t="s">
        <v>101</v>
      </c>
      <c r="AO165" s="8">
        <v>28.56</v>
      </c>
      <c r="AP165" s="8" t="s">
        <v>101</v>
      </c>
      <c r="AQ165" s="8" t="s">
        <v>101</v>
      </c>
      <c r="AR165" s="8">
        <f>30*0.079</f>
        <v>2.37</v>
      </c>
      <c r="AS165" s="8" t="s">
        <v>101</v>
      </c>
      <c r="AT165" s="11">
        <f t="shared" si="42"/>
        <v>91.701680672268907</v>
      </c>
      <c r="AU165" s="49">
        <v>91.701680672268907</v>
      </c>
      <c r="AV165" s="8" t="s">
        <v>101</v>
      </c>
      <c r="AW165" s="11" t="s">
        <v>613</v>
      </c>
      <c r="AX165" s="8"/>
      <c r="AY165" s="8"/>
    </row>
    <row r="166" spans="1:51" s="2" customFormat="1" ht="27.75" customHeight="1" thickTop="1" x14ac:dyDescent="0.35">
      <c r="A166" s="1">
        <v>39</v>
      </c>
      <c r="B166" s="2" t="s">
        <v>614</v>
      </c>
      <c r="C166" s="2" t="s">
        <v>615</v>
      </c>
      <c r="D166" s="2" t="s">
        <v>616</v>
      </c>
      <c r="E166" s="28" t="s">
        <v>877</v>
      </c>
      <c r="F166" s="2" t="s">
        <v>101</v>
      </c>
      <c r="G166" s="2" t="s">
        <v>617</v>
      </c>
      <c r="J166" s="2" t="s">
        <v>881</v>
      </c>
      <c r="K166" s="1">
        <v>2004</v>
      </c>
      <c r="L166" s="1">
        <v>2004</v>
      </c>
      <c r="M166" s="2" t="s">
        <v>625</v>
      </c>
      <c r="N166" s="47" t="s">
        <v>885</v>
      </c>
      <c r="O166" s="2" t="s">
        <v>628</v>
      </c>
      <c r="P166" s="47" t="s">
        <v>534</v>
      </c>
      <c r="Q166" s="26" t="s">
        <v>93</v>
      </c>
      <c r="R166" s="26">
        <v>1.7</v>
      </c>
      <c r="S166" s="1" t="s">
        <v>101</v>
      </c>
      <c r="T166" s="38">
        <v>77</v>
      </c>
      <c r="U166" s="1" t="s">
        <v>101</v>
      </c>
      <c r="V166" s="1">
        <v>7.4</v>
      </c>
      <c r="W166" s="2">
        <v>75</v>
      </c>
      <c r="X166" s="47">
        <v>115</v>
      </c>
      <c r="Y166" s="15" t="s">
        <v>621</v>
      </c>
      <c r="Z166" s="15"/>
      <c r="AA166" s="2" t="s">
        <v>399</v>
      </c>
      <c r="AB166" s="2" t="s">
        <v>624</v>
      </c>
      <c r="AC166" s="2" t="s">
        <v>846</v>
      </c>
      <c r="AD166" s="2" t="s">
        <v>619</v>
      </c>
      <c r="AE166" s="47" t="s">
        <v>946</v>
      </c>
      <c r="AF166" s="2" t="s">
        <v>618</v>
      </c>
      <c r="AG166" s="26" t="s">
        <v>966</v>
      </c>
      <c r="AH166" s="2" t="s">
        <v>101</v>
      </c>
      <c r="AI166" s="47" t="s">
        <v>914</v>
      </c>
      <c r="AK166" s="2" t="s">
        <v>101</v>
      </c>
      <c r="AL166" s="2" t="s">
        <v>101</v>
      </c>
      <c r="AM166" s="1">
        <v>13</v>
      </c>
      <c r="AN166" s="1" t="s">
        <v>101</v>
      </c>
      <c r="AO166" s="1">
        <v>9</v>
      </c>
      <c r="AP166" s="1" t="s">
        <v>101</v>
      </c>
      <c r="AQ166" s="1" t="s">
        <v>101</v>
      </c>
      <c r="AR166" s="1">
        <v>6</v>
      </c>
      <c r="AS166" s="1">
        <v>3.6</v>
      </c>
      <c r="AT166" s="2">
        <f t="shared" ref="AT166:AT173" si="43">((AO166-AR166)/AO166)*100</f>
        <v>33.333333333333329</v>
      </c>
      <c r="AU166" s="47">
        <v>33.333333333333329</v>
      </c>
      <c r="AV166" s="1" t="s">
        <v>101</v>
      </c>
      <c r="AW166" s="2" t="s">
        <v>629</v>
      </c>
      <c r="AX166" s="1" t="s">
        <v>630</v>
      </c>
      <c r="AY166" s="1"/>
    </row>
    <row r="167" spans="1:51" s="2" customFormat="1" ht="27.75" customHeight="1" x14ac:dyDescent="0.35">
      <c r="A167" s="1">
        <v>39</v>
      </c>
      <c r="B167" s="2" t="s">
        <v>614</v>
      </c>
      <c r="C167" s="2" t="s">
        <v>615</v>
      </c>
      <c r="D167" s="2" t="s">
        <v>616</v>
      </c>
      <c r="E167" s="28" t="s">
        <v>877</v>
      </c>
      <c r="F167" s="2" t="s">
        <v>101</v>
      </c>
      <c r="G167" s="2" t="s">
        <v>617</v>
      </c>
      <c r="J167" s="2" t="s">
        <v>881</v>
      </c>
      <c r="K167" s="1">
        <v>2004</v>
      </c>
      <c r="L167" s="1">
        <v>2004</v>
      </c>
      <c r="M167" s="2" t="s">
        <v>625</v>
      </c>
      <c r="N167" s="47" t="s">
        <v>885</v>
      </c>
      <c r="O167" s="2" t="s">
        <v>628</v>
      </c>
      <c r="P167" s="47" t="s">
        <v>534</v>
      </c>
      <c r="Q167" s="26" t="s">
        <v>93</v>
      </c>
      <c r="R167" s="26">
        <v>1.7</v>
      </c>
      <c r="S167" s="1" t="s">
        <v>101</v>
      </c>
      <c r="T167" s="38">
        <v>77</v>
      </c>
      <c r="U167" s="1" t="s">
        <v>101</v>
      </c>
      <c r="V167" s="1">
        <v>7.4</v>
      </c>
      <c r="W167" s="2">
        <v>75</v>
      </c>
      <c r="X167" s="47">
        <v>115</v>
      </c>
      <c r="Y167" s="15" t="s">
        <v>621</v>
      </c>
      <c r="Z167" s="15"/>
      <c r="AA167" s="2" t="s">
        <v>399</v>
      </c>
      <c r="AB167" s="2" t="s">
        <v>624</v>
      </c>
      <c r="AC167" s="2" t="s">
        <v>846</v>
      </c>
      <c r="AD167" s="2" t="s">
        <v>620</v>
      </c>
      <c r="AE167" s="47" t="s">
        <v>1034</v>
      </c>
      <c r="AF167" s="2" t="s">
        <v>618</v>
      </c>
      <c r="AG167" s="26" t="s">
        <v>966</v>
      </c>
      <c r="AH167" s="2" t="s">
        <v>101</v>
      </c>
      <c r="AI167" s="47" t="s">
        <v>914</v>
      </c>
      <c r="AK167" s="2" t="s">
        <v>101</v>
      </c>
      <c r="AL167" s="2" t="s">
        <v>101</v>
      </c>
      <c r="AM167" s="1">
        <v>13</v>
      </c>
      <c r="AN167" s="1" t="s">
        <v>101</v>
      </c>
      <c r="AO167" s="1">
        <v>9</v>
      </c>
      <c r="AP167" s="1" t="s">
        <v>101</v>
      </c>
      <c r="AQ167" s="1" t="s">
        <v>101</v>
      </c>
      <c r="AR167" s="1">
        <v>1</v>
      </c>
      <c r="AS167" s="1">
        <v>1.3</v>
      </c>
      <c r="AT167" s="2">
        <f t="shared" si="43"/>
        <v>88.888888888888886</v>
      </c>
      <c r="AU167" s="47">
        <v>88.888888888888886</v>
      </c>
      <c r="AV167" s="1" t="s">
        <v>101</v>
      </c>
      <c r="AW167" s="2" t="s">
        <v>629</v>
      </c>
      <c r="AX167" s="1"/>
      <c r="AY167" s="1"/>
    </row>
    <row r="168" spans="1:51" s="2" customFormat="1" ht="27.75" customHeight="1" x14ac:dyDescent="0.35">
      <c r="A168" s="1">
        <v>39</v>
      </c>
      <c r="B168" s="2" t="s">
        <v>614</v>
      </c>
      <c r="C168" s="2" t="s">
        <v>615</v>
      </c>
      <c r="D168" s="2" t="s">
        <v>616</v>
      </c>
      <c r="E168" s="28" t="s">
        <v>877</v>
      </c>
      <c r="F168" s="2" t="s">
        <v>101</v>
      </c>
      <c r="G168" s="2" t="s">
        <v>617</v>
      </c>
      <c r="J168" s="2" t="s">
        <v>881</v>
      </c>
      <c r="K168" s="1">
        <v>2005</v>
      </c>
      <c r="L168" s="1">
        <v>2005</v>
      </c>
      <c r="M168" s="2" t="s">
        <v>627</v>
      </c>
      <c r="N168" s="47" t="s">
        <v>884</v>
      </c>
      <c r="O168" s="2" t="s">
        <v>628</v>
      </c>
      <c r="P168" s="47" t="s">
        <v>534</v>
      </c>
      <c r="Q168" s="26" t="s">
        <v>93</v>
      </c>
      <c r="R168" s="26">
        <v>5.7</v>
      </c>
      <c r="S168" s="1" t="s">
        <v>101</v>
      </c>
      <c r="T168" s="38">
        <v>100</v>
      </c>
      <c r="U168" s="1" t="s">
        <v>101</v>
      </c>
      <c r="V168" s="1">
        <v>8</v>
      </c>
      <c r="W168" s="2">
        <v>75</v>
      </c>
      <c r="X168" s="47">
        <v>187</v>
      </c>
      <c r="Y168" s="15" t="s">
        <v>622</v>
      </c>
      <c r="Z168" s="15"/>
      <c r="AA168" s="2" t="s">
        <v>399</v>
      </c>
      <c r="AB168" s="2" t="s">
        <v>624</v>
      </c>
      <c r="AC168" s="2" t="s">
        <v>846</v>
      </c>
      <c r="AD168" s="2" t="s">
        <v>619</v>
      </c>
      <c r="AE168" s="47" t="s">
        <v>946</v>
      </c>
      <c r="AF168" s="2" t="s">
        <v>618</v>
      </c>
      <c r="AG168" s="26" t="s">
        <v>966</v>
      </c>
      <c r="AH168" s="2" t="s">
        <v>101</v>
      </c>
      <c r="AI168" s="47" t="s">
        <v>914</v>
      </c>
      <c r="AK168" s="2" t="s">
        <v>101</v>
      </c>
      <c r="AL168" s="2" t="s">
        <v>101</v>
      </c>
      <c r="AM168" s="1">
        <v>50</v>
      </c>
      <c r="AN168" s="1" t="s">
        <v>101</v>
      </c>
      <c r="AO168" s="1">
        <v>55</v>
      </c>
      <c r="AP168" s="1" t="s">
        <v>101</v>
      </c>
      <c r="AQ168" s="1" t="s">
        <v>101</v>
      </c>
      <c r="AR168" s="1">
        <v>40</v>
      </c>
      <c r="AS168" s="1">
        <v>8.1999999999999993</v>
      </c>
      <c r="AT168" s="2">
        <f t="shared" si="43"/>
        <v>27.27272727272727</v>
      </c>
      <c r="AU168" s="47">
        <v>27.27272727272727</v>
      </c>
      <c r="AV168" s="1" t="s">
        <v>101</v>
      </c>
      <c r="AW168" s="2" t="s">
        <v>629</v>
      </c>
      <c r="AX168" s="1"/>
      <c r="AY168" s="1"/>
    </row>
    <row r="169" spans="1:51" s="2" customFormat="1" ht="27.75" customHeight="1" x14ac:dyDescent="0.35">
      <c r="A169" s="1">
        <v>39</v>
      </c>
      <c r="B169" s="2" t="s">
        <v>614</v>
      </c>
      <c r="C169" s="2" t="s">
        <v>615</v>
      </c>
      <c r="D169" s="2" t="s">
        <v>616</v>
      </c>
      <c r="E169" s="28" t="s">
        <v>877</v>
      </c>
      <c r="F169" s="2" t="s">
        <v>101</v>
      </c>
      <c r="G169" s="2" t="s">
        <v>617</v>
      </c>
      <c r="J169" s="2" t="s">
        <v>881</v>
      </c>
      <c r="K169" s="1">
        <v>2005</v>
      </c>
      <c r="L169" s="1">
        <v>2005</v>
      </c>
      <c r="M169" s="2" t="s">
        <v>627</v>
      </c>
      <c r="N169" s="47" t="s">
        <v>884</v>
      </c>
      <c r="O169" s="2" t="s">
        <v>628</v>
      </c>
      <c r="P169" s="47" t="s">
        <v>534</v>
      </c>
      <c r="Q169" s="26" t="s">
        <v>93</v>
      </c>
      <c r="R169" s="26">
        <v>5.7</v>
      </c>
      <c r="S169" s="1" t="s">
        <v>101</v>
      </c>
      <c r="T169" s="38">
        <v>100</v>
      </c>
      <c r="U169" s="1" t="s">
        <v>101</v>
      </c>
      <c r="V169" s="1">
        <v>8</v>
      </c>
      <c r="W169" s="2">
        <v>75</v>
      </c>
      <c r="X169" s="47">
        <v>187</v>
      </c>
      <c r="Y169" s="15" t="s">
        <v>622</v>
      </c>
      <c r="Z169" s="15"/>
      <c r="AA169" s="2" t="s">
        <v>399</v>
      </c>
      <c r="AB169" s="2" t="s">
        <v>624</v>
      </c>
      <c r="AC169" s="2" t="s">
        <v>846</v>
      </c>
      <c r="AD169" s="2" t="s">
        <v>620</v>
      </c>
      <c r="AE169" s="47" t="s">
        <v>1034</v>
      </c>
      <c r="AF169" s="2" t="s">
        <v>618</v>
      </c>
      <c r="AG169" s="26" t="s">
        <v>966</v>
      </c>
      <c r="AH169" s="2" t="s">
        <v>101</v>
      </c>
      <c r="AI169" s="47" t="s">
        <v>914</v>
      </c>
      <c r="AK169" s="2" t="s">
        <v>101</v>
      </c>
      <c r="AL169" s="2" t="s">
        <v>101</v>
      </c>
      <c r="AM169" s="1">
        <v>50</v>
      </c>
      <c r="AN169" s="1" t="s">
        <v>101</v>
      </c>
      <c r="AO169" s="1">
        <v>55</v>
      </c>
      <c r="AP169" s="1" t="s">
        <v>101</v>
      </c>
      <c r="AQ169" s="1" t="s">
        <v>101</v>
      </c>
      <c r="AR169" s="1">
        <v>16</v>
      </c>
      <c r="AS169" s="1">
        <v>3.7</v>
      </c>
      <c r="AT169" s="46">
        <f>((AO169-AR169)/AO169)*100</f>
        <v>70.909090909090907</v>
      </c>
      <c r="AU169" s="47">
        <v>70.909090909090907</v>
      </c>
      <c r="AV169" s="1" t="s">
        <v>101</v>
      </c>
      <c r="AW169" s="2" t="s">
        <v>629</v>
      </c>
      <c r="AX169" s="1"/>
      <c r="AY169" s="1"/>
    </row>
    <row r="170" spans="1:51" s="2" customFormat="1" ht="27.75" customHeight="1" x14ac:dyDescent="0.35">
      <c r="A170" s="1">
        <v>39</v>
      </c>
      <c r="B170" s="2" t="s">
        <v>614</v>
      </c>
      <c r="C170" s="2" t="s">
        <v>615</v>
      </c>
      <c r="D170" s="2" t="s">
        <v>616</v>
      </c>
      <c r="E170" s="28" t="s">
        <v>877</v>
      </c>
      <c r="F170" s="2" t="s">
        <v>101</v>
      </c>
      <c r="G170" s="2" t="s">
        <v>617</v>
      </c>
      <c r="J170" s="2" t="s">
        <v>881</v>
      </c>
      <c r="K170" s="1">
        <v>2006</v>
      </c>
      <c r="L170" s="1">
        <v>2006</v>
      </c>
      <c r="M170" s="2" t="s">
        <v>626</v>
      </c>
      <c r="N170" s="47" t="s">
        <v>884</v>
      </c>
      <c r="O170" s="2" t="s">
        <v>628</v>
      </c>
      <c r="P170" s="47" t="s">
        <v>534</v>
      </c>
      <c r="Q170" s="26" t="s">
        <v>93</v>
      </c>
      <c r="R170" s="26">
        <v>4.2</v>
      </c>
      <c r="S170" s="1" t="s">
        <v>101</v>
      </c>
      <c r="T170" s="38">
        <v>76</v>
      </c>
      <c r="U170" s="1" t="s">
        <v>101</v>
      </c>
      <c r="V170" s="1">
        <v>6.9</v>
      </c>
      <c r="W170" s="2">
        <v>75</v>
      </c>
      <c r="X170" s="47">
        <v>142</v>
      </c>
      <c r="Y170" s="15" t="s">
        <v>623</v>
      </c>
      <c r="Z170" s="15"/>
      <c r="AA170" s="2" t="s">
        <v>399</v>
      </c>
      <c r="AB170" s="2" t="s">
        <v>624</v>
      </c>
      <c r="AC170" s="2" t="s">
        <v>846</v>
      </c>
      <c r="AD170" s="2" t="s">
        <v>619</v>
      </c>
      <c r="AE170" s="47" t="s">
        <v>946</v>
      </c>
      <c r="AF170" s="2" t="s">
        <v>618</v>
      </c>
      <c r="AG170" s="26" t="s">
        <v>966</v>
      </c>
      <c r="AH170" s="2" t="s">
        <v>101</v>
      </c>
      <c r="AI170" s="47" t="s">
        <v>914</v>
      </c>
      <c r="AK170" s="2" t="s">
        <v>101</v>
      </c>
      <c r="AL170" s="2" t="s">
        <v>101</v>
      </c>
      <c r="AM170" s="1">
        <v>26</v>
      </c>
      <c r="AN170" s="1" t="s">
        <v>101</v>
      </c>
      <c r="AO170" s="1">
        <v>19</v>
      </c>
      <c r="AP170" s="1" t="s">
        <v>101</v>
      </c>
      <c r="AQ170" s="1" t="s">
        <v>101</v>
      </c>
      <c r="AR170" s="1">
        <v>7</v>
      </c>
      <c r="AS170" s="1">
        <v>0.8</v>
      </c>
      <c r="AT170" s="2">
        <f t="shared" si="43"/>
        <v>63.157894736842103</v>
      </c>
      <c r="AU170" s="47">
        <v>63.157894736842103</v>
      </c>
      <c r="AV170" s="1" t="s">
        <v>101</v>
      </c>
      <c r="AW170" s="2" t="s">
        <v>629</v>
      </c>
      <c r="AX170" s="1"/>
      <c r="AY170" s="1"/>
    </row>
    <row r="171" spans="1:51" s="2" customFormat="1" ht="27.75" customHeight="1" x14ac:dyDescent="0.35">
      <c r="A171" s="1">
        <v>39</v>
      </c>
      <c r="B171" s="2" t="s">
        <v>614</v>
      </c>
      <c r="C171" s="2" t="s">
        <v>615</v>
      </c>
      <c r="D171" s="2" t="s">
        <v>616</v>
      </c>
      <c r="E171" s="28" t="s">
        <v>877</v>
      </c>
      <c r="F171" s="2" t="s">
        <v>101</v>
      </c>
      <c r="G171" s="2" t="s">
        <v>617</v>
      </c>
      <c r="J171" s="2" t="s">
        <v>881</v>
      </c>
      <c r="K171" s="1">
        <v>2006</v>
      </c>
      <c r="L171" s="1">
        <v>2006</v>
      </c>
      <c r="M171" s="2" t="s">
        <v>626</v>
      </c>
      <c r="N171" s="47" t="s">
        <v>884</v>
      </c>
      <c r="O171" s="2" t="s">
        <v>628</v>
      </c>
      <c r="P171" s="47" t="s">
        <v>534</v>
      </c>
      <c r="Q171" s="26" t="s">
        <v>93</v>
      </c>
      <c r="R171" s="26">
        <v>4.2</v>
      </c>
      <c r="S171" s="1" t="s">
        <v>101</v>
      </c>
      <c r="T171" s="38">
        <v>76</v>
      </c>
      <c r="U171" s="1" t="s">
        <v>101</v>
      </c>
      <c r="V171" s="1">
        <v>6.9</v>
      </c>
      <c r="W171" s="2">
        <v>75</v>
      </c>
      <c r="X171" s="47">
        <v>142</v>
      </c>
      <c r="Y171" s="15" t="s">
        <v>623</v>
      </c>
      <c r="Z171" s="15"/>
      <c r="AA171" s="2" t="s">
        <v>399</v>
      </c>
      <c r="AB171" s="2" t="s">
        <v>624</v>
      </c>
      <c r="AC171" s="2" t="s">
        <v>846</v>
      </c>
      <c r="AD171" s="2" t="s">
        <v>620</v>
      </c>
      <c r="AE171" s="47" t="s">
        <v>1034</v>
      </c>
      <c r="AF171" s="2" t="s">
        <v>618</v>
      </c>
      <c r="AG171" s="26" t="s">
        <v>966</v>
      </c>
      <c r="AH171" s="2" t="s">
        <v>101</v>
      </c>
      <c r="AI171" s="47" t="s">
        <v>914</v>
      </c>
      <c r="AK171" s="2" t="s">
        <v>101</v>
      </c>
      <c r="AL171" s="2" t="s">
        <v>101</v>
      </c>
      <c r="AM171" s="1">
        <v>26</v>
      </c>
      <c r="AN171" s="1" t="s">
        <v>101</v>
      </c>
      <c r="AO171" s="1">
        <v>19</v>
      </c>
      <c r="AP171" s="1" t="s">
        <v>101</v>
      </c>
      <c r="AQ171" s="1" t="s">
        <v>101</v>
      </c>
      <c r="AR171" s="1">
        <v>11.5</v>
      </c>
      <c r="AS171" s="1">
        <v>1.8</v>
      </c>
      <c r="AT171" s="2">
        <f t="shared" si="43"/>
        <v>39.473684210526315</v>
      </c>
      <c r="AU171" s="47">
        <v>39.473684210526315</v>
      </c>
      <c r="AV171" s="1" t="s">
        <v>101</v>
      </c>
      <c r="AW171" s="2" t="s">
        <v>629</v>
      </c>
      <c r="AX171" s="1"/>
      <c r="AY171" s="1"/>
    </row>
    <row r="172" spans="1:51" s="2" customFormat="1" ht="27.75" customHeight="1" x14ac:dyDescent="0.35">
      <c r="A172" s="1">
        <v>39</v>
      </c>
      <c r="B172" s="2" t="s">
        <v>614</v>
      </c>
      <c r="C172" s="2" t="s">
        <v>615</v>
      </c>
      <c r="D172" s="2" t="s">
        <v>616</v>
      </c>
      <c r="E172" s="28" t="s">
        <v>877</v>
      </c>
      <c r="F172" s="2" t="s">
        <v>101</v>
      </c>
      <c r="G172" s="2" t="s">
        <v>617</v>
      </c>
      <c r="J172" s="2" t="s">
        <v>881</v>
      </c>
      <c r="K172" s="1">
        <v>2007</v>
      </c>
      <c r="L172" s="1">
        <v>2007</v>
      </c>
      <c r="M172" s="2" t="s">
        <v>626</v>
      </c>
      <c r="N172" s="47" t="s">
        <v>884</v>
      </c>
      <c r="O172" s="2" t="s">
        <v>628</v>
      </c>
      <c r="P172" s="47" t="s">
        <v>534</v>
      </c>
      <c r="Q172" s="26" t="s">
        <v>93</v>
      </c>
      <c r="R172" s="26">
        <v>5.4</v>
      </c>
      <c r="S172" s="1" t="s">
        <v>101</v>
      </c>
      <c r="T172" s="38">
        <v>82</v>
      </c>
      <c r="U172" s="1" t="s">
        <v>101</v>
      </c>
      <c r="V172" s="1">
        <v>7</v>
      </c>
      <c r="W172" s="2">
        <v>75</v>
      </c>
      <c r="X172" s="47">
        <v>190</v>
      </c>
      <c r="Y172" s="15" t="s">
        <v>380</v>
      </c>
      <c r="Z172" s="15"/>
      <c r="AA172" s="2" t="s">
        <v>399</v>
      </c>
      <c r="AB172" s="2" t="s">
        <v>624</v>
      </c>
      <c r="AC172" s="2" t="s">
        <v>846</v>
      </c>
      <c r="AD172" s="2" t="s">
        <v>619</v>
      </c>
      <c r="AE172" s="47" t="s">
        <v>946</v>
      </c>
      <c r="AF172" s="2" t="s">
        <v>618</v>
      </c>
      <c r="AG172" s="26" t="s">
        <v>966</v>
      </c>
      <c r="AH172" s="2" t="s">
        <v>101</v>
      </c>
      <c r="AI172" s="47" t="s">
        <v>914</v>
      </c>
      <c r="AK172" s="2" t="s">
        <v>101</v>
      </c>
      <c r="AL172" s="2" t="s">
        <v>101</v>
      </c>
      <c r="AM172" s="1">
        <v>50</v>
      </c>
      <c r="AN172" s="1" t="s">
        <v>101</v>
      </c>
      <c r="AO172" s="1">
        <v>45</v>
      </c>
      <c r="AP172" s="1" t="s">
        <v>101</v>
      </c>
      <c r="AQ172" s="1" t="s">
        <v>101</v>
      </c>
      <c r="AR172" s="1">
        <v>17.2</v>
      </c>
      <c r="AS172" s="1">
        <v>7.8</v>
      </c>
      <c r="AT172" s="2">
        <f t="shared" si="43"/>
        <v>61.777777777777779</v>
      </c>
      <c r="AU172" s="47">
        <v>61.777777777777779</v>
      </c>
      <c r="AV172" s="1" t="s">
        <v>101</v>
      </c>
      <c r="AW172" s="2" t="s">
        <v>629</v>
      </c>
      <c r="AX172" s="1"/>
      <c r="AY172" s="1"/>
    </row>
    <row r="173" spans="1:51" s="11" customFormat="1" ht="27.75" customHeight="1" thickBot="1" x14ac:dyDescent="0.4">
      <c r="A173" s="8">
        <v>39</v>
      </c>
      <c r="B173" s="11" t="s">
        <v>614</v>
      </c>
      <c r="C173" s="11" t="s">
        <v>615</v>
      </c>
      <c r="D173" s="11" t="s">
        <v>616</v>
      </c>
      <c r="E173" s="29" t="s">
        <v>877</v>
      </c>
      <c r="F173" s="11" t="s">
        <v>101</v>
      </c>
      <c r="G173" s="11" t="s">
        <v>617</v>
      </c>
      <c r="J173" s="2" t="s">
        <v>881</v>
      </c>
      <c r="K173" s="8">
        <v>2007</v>
      </c>
      <c r="L173" s="8">
        <v>2007</v>
      </c>
      <c r="M173" s="11" t="s">
        <v>626</v>
      </c>
      <c r="N173" s="47" t="s">
        <v>884</v>
      </c>
      <c r="O173" s="11" t="s">
        <v>628</v>
      </c>
      <c r="P173" s="47" t="s">
        <v>534</v>
      </c>
      <c r="Q173" s="27" t="s">
        <v>93</v>
      </c>
      <c r="R173" s="27">
        <v>5.4</v>
      </c>
      <c r="S173" s="8" t="s">
        <v>101</v>
      </c>
      <c r="T173" s="39">
        <v>82</v>
      </c>
      <c r="U173" s="8" t="s">
        <v>101</v>
      </c>
      <c r="V173" s="8">
        <v>7</v>
      </c>
      <c r="W173" s="11">
        <v>75</v>
      </c>
      <c r="X173" s="49">
        <v>190</v>
      </c>
      <c r="Y173" s="17" t="s">
        <v>380</v>
      </c>
      <c r="Z173" s="17"/>
      <c r="AA173" s="11" t="s">
        <v>399</v>
      </c>
      <c r="AB173" s="11" t="s">
        <v>624</v>
      </c>
      <c r="AC173" s="2" t="s">
        <v>846</v>
      </c>
      <c r="AD173" s="11" t="s">
        <v>620</v>
      </c>
      <c r="AE173" s="47" t="s">
        <v>1034</v>
      </c>
      <c r="AF173" s="11" t="s">
        <v>618</v>
      </c>
      <c r="AG173" s="26" t="s">
        <v>966</v>
      </c>
      <c r="AH173" s="11" t="s">
        <v>101</v>
      </c>
      <c r="AI173" s="47" t="s">
        <v>914</v>
      </c>
      <c r="AK173" s="11" t="s">
        <v>101</v>
      </c>
      <c r="AL173" s="11" t="s">
        <v>101</v>
      </c>
      <c r="AM173" s="8">
        <v>50</v>
      </c>
      <c r="AN173" s="8" t="s">
        <v>101</v>
      </c>
      <c r="AO173" s="8">
        <v>45</v>
      </c>
      <c r="AP173" s="8" t="s">
        <v>101</v>
      </c>
      <c r="AQ173" s="8" t="s">
        <v>101</v>
      </c>
      <c r="AR173" s="8">
        <v>2.2000000000000002</v>
      </c>
      <c r="AS173" s="8">
        <v>0.7</v>
      </c>
      <c r="AT173" s="11">
        <f t="shared" si="43"/>
        <v>95.1111111111111</v>
      </c>
      <c r="AU173" s="49">
        <v>95.1111111111111</v>
      </c>
      <c r="AV173" s="8" t="s">
        <v>101</v>
      </c>
      <c r="AW173" s="11" t="s">
        <v>629</v>
      </c>
      <c r="AX173" s="8"/>
      <c r="AY173" s="8"/>
    </row>
    <row r="174" spans="1:51" s="11" customFormat="1" ht="27.75" customHeight="1" thickTop="1" thickBot="1" x14ac:dyDescent="0.4">
      <c r="A174" s="8">
        <v>40</v>
      </c>
      <c r="B174" s="11" t="s">
        <v>631</v>
      </c>
      <c r="C174" s="11" t="s">
        <v>632</v>
      </c>
      <c r="D174" s="11" t="s">
        <v>114</v>
      </c>
      <c r="E174" s="11" t="s">
        <v>634</v>
      </c>
      <c r="F174" s="11" t="s">
        <v>633</v>
      </c>
      <c r="G174" s="11" t="s">
        <v>635</v>
      </c>
      <c r="H174" s="2">
        <v>260</v>
      </c>
      <c r="I174" s="2">
        <v>250</v>
      </c>
      <c r="J174" s="2" t="s">
        <v>881</v>
      </c>
      <c r="K174" s="8">
        <v>2015</v>
      </c>
      <c r="L174" s="8">
        <v>2015</v>
      </c>
      <c r="M174" s="11" t="s">
        <v>638</v>
      </c>
      <c r="N174" s="47" t="s">
        <v>884</v>
      </c>
      <c r="O174" s="11" t="s">
        <v>107</v>
      </c>
      <c r="P174" s="47" t="s">
        <v>889</v>
      </c>
      <c r="Q174" s="27" t="s">
        <v>93</v>
      </c>
      <c r="R174" s="27" t="s">
        <v>101</v>
      </c>
      <c r="S174" s="8" t="s">
        <v>101</v>
      </c>
      <c r="T174" s="8" t="s">
        <v>101</v>
      </c>
      <c r="U174" s="8" t="s">
        <v>101</v>
      </c>
      <c r="V174" s="8" t="s">
        <v>101</v>
      </c>
      <c r="W174" s="8" t="s">
        <v>101</v>
      </c>
      <c r="X174" s="49">
        <v>150</v>
      </c>
      <c r="Y174" s="17">
        <v>42178</v>
      </c>
      <c r="Z174" s="17"/>
      <c r="AA174" s="11" t="s">
        <v>640</v>
      </c>
      <c r="AB174" s="11" t="s">
        <v>639</v>
      </c>
      <c r="AC174" s="2" t="s">
        <v>901</v>
      </c>
      <c r="AD174" s="11" t="s">
        <v>637</v>
      </c>
      <c r="AE174" s="47" t="s">
        <v>916</v>
      </c>
      <c r="AF174" s="11" t="s">
        <v>637</v>
      </c>
      <c r="AG174" s="49" t="s">
        <v>967</v>
      </c>
      <c r="AH174" s="11" t="s">
        <v>636</v>
      </c>
      <c r="AI174" s="49" t="s">
        <v>937</v>
      </c>
      <c r="AK174" s="8" t="s">
        <v>101</v>
      </c>
      <c r="AL174" s="8" t="s">
        <v>101</v>
      </c>
      <c r="AM174" s="8" t="s">
        <v>101</v>
      </c>
      <c r="AN174" s="8" t="s">
        <v>101</v>
      </c>
      <c r="AO174" s="8">
        <v>10.9</v>
      </c>
      <c r="AP174" s="8" t="s">
        <v>101</v>
      </c>
      <c r="AQ174" s="8" t="s">
        <v>101</v>
      </c>
      <c r="AR174" s="8">
        <v>7.8</v>
      </c>
      <c r="AS174" s="8">
        <v>0.86</v>
      </c>
      <c r="AT174" s="11">
        <f t="shared" ref="AT174" si="44">((AO174-AR174)/AO174)*100</f>
        <v>28.440366972477065</v>
      </c>
      <c r="AU174" s="49">
        <v>28.440366972477065</v>
      </c>
      <c r="AV174" s="8" t="s">
        <v>101</v>
      </c>
      <c r="AW174" s="11" t="s">
        <v>641</v>
      </c>
      <c r="AX174" s="8" t="s">
        <v>642</v>
      </c>
      <c r="AY174" s="8"/>
    </row>
    <row r="175" spans="1:51" s="2" customFormat="1" ht="27.75" customHeight="1" thickTop="1" x14ac:dyDescent="0.35">
      <c r="A175" s="1">
        <v>41</v>
      </c>
      <c r="B175" s="2" t="s">
        <v>643</v>
      </c>
      <c r="C175" s="2" t="s">
        <v>644</v>
      </c>
      <c r="D175" s="2" t="s">
        <v>645</v>
      </c>
      <c r="E175" s="28" t="s">
        <v>878</v>
      </c>
      <c r="F175" s="2" t="s">
        <v>646</v>
      </c>
      <c r="G175" s="2" t="s">
        <v>101</v>
      </c>
      <c r="K175" s="1">
        <v>2010</v>
      </c>
      <c r="L175" s="1">
        <v>2012</v>
      </c>
      <c r="M175" s="2" t="s">
        <v>654</v>
      </c>
      <c r="N175" s="47" t="s">
        <v>884</v>
      </c>
      <c r="O175" s="2" t="s">
        <v>653</v>
      </c>
      <c r="P175" s="47" t="s">
        <v>534</v>
      </c>
      <c r="Q175" s="26" t="s">
        <v>93</v>
      </c>
      <c r="R175" s="26">
        <v>8</v>
      </c>
      <c r="S175" s="1" t="s">
        <v>101</v>
      </c>
      <c r="T175" s="1" t="s">
        <v>101</v>
      </c>
      <c r="U175" s="1" t="s">
        <v>101</v>
      </c>
      <c r="V175" s="1">
        <v>7</v>
      </c>
      <c r="W175" s="2">
        <v>56000</v>
      </c>
      <c r="X175" s="47">
        <v>152</v>
      </c>
      <c r="Y175" s="15">
        <v>40325</v>
      </c>
      <c r="Z175" s="15"/>
      <c r="AA175" s="2" t="s">
        <v>656</v>
      </c>
      <c r="AB175" s="2" t="s">
        <v>655</v>
      </c>
      <c r="AC175" s="2" t="s">
        <v>899</v>
      </c>
      <c r="AD175" s="2" t="s">
        <v>648</v>
      </c>
      <c r="AE175" s="47" t="s">
        <v>916</v>
      </c>
      <c r="AF175" s="2" t="s">
        <v>647</v>
      </c>
      <c r="AG175" s="47" t="s">
        <v>966</v>
      </c>
      <c r="AH175" s="2" t="s">
        <v>101</v>
      </c>
      <c r="AI175" s="47"/>
      <c r="AK175" s="1" t="s">
        <v>101</v>
      </c>
      <c r="AL175" s="1" t="s">
        <v>101</v>
      </c>
      <c r="AM175" s="1" t="s">
        <v>101</v>
      </c>
      <c r="AN175" s="1" t="s">
        <v>101</v>
      </c>
      <c r="AO175" s="1">
        <v>5.2</v>
      </c>
      <c r="AP175" s="1" t="s">
        <v>101</v>
      </c>
      <c r="AQ175" s="1" t="s">
        <v>101</v>
      </c>
      <c r="AR175" s="1">
        <v>1.3</v>
      </c>
      <c r="AS175" s="1" t="s">
        <v>101</v>
      </c>
      <c r="AT175" s="2">
        <v>75</v>
      </c>
      <c r="AU175" s="47">
        <v>75</v>
      </c>
      <c r="AV175" s="1" t="s">
        <v>101</v>
      </c>
      <c r="AW175" s="2" t="s">
        <v>657</v>
      </c>
      <c r="AX175" s="1" t="s">
        <v>652</v>
      </c>
      <c r="AY175" s="1"/>
    </row>
    <row r="176" spans="1:51" s="2" customFormat="1" ht="27.75" customHeight="1" x14ac:dyDescent="0.35">
      <c r="A176" s="1">
        <v>41</v>
      </c>
      <c r="B176" s="2" t="s">
        <v>643</v>
      </c>
      <c r="C176" s="2" t="s">
        <v>644</v>
      </c>
      <c r="D176" s="2" t="s">
        <v>645</v>
      </c>
      <c r="E176" s="28" t="s">
        <v>878</v>
      </c>
      <c r="F176" s="2" t="s">
        <v>646</v>
      </c>
      <c r="G176" s="2" t="s">
        <v>101</v>
      </c>
      <c r="K176" s="1">
        <v>2010</v>
      </c>
      <c r="L176" s="1">
        <v>2012</v>
      </c>
      <c r="M176" s="2" t="s">
        <v>654</v>
      </c>
      <c r="N176" s="47" t="s">
        <v>884</v>
      </c>
      <c r="O176" s="2" t="s">
        <v>653</v>
      </c>
      <c r="P176" s="47" t="s">
        <v>534</v>
      </c>
      <c r="Q176" s="26" t="s">
        <v>93</v>
      </c>
      <c r="R176" s="26">
        <v>8</v>
      </c>
      <c r="S176" s="1" t="s">
        <v>101</v>
      </c>
      <c r="T176" s="1" t="s">
        <v>101</v>
      </c>
      <c r="U176" s="1" t="s">
        <v>101</v>
      </c>
      <c r="V176" s="1">
        <v>7</v>
      </c>
      <c r="W176" s="2">
        <v>56000</v>
      </c>
      <c r="X176" s="47">
        <v>152</v>
      </c>
      <c r="Y176" s="15">
        <v>40325</v>
      </c>
      <c r="Z176" s="15"/>
      <c r="AA176" s="2" t="s">
        <v>656</v>
      </c>
      <c r="AB176" s="2" t="s">
        <v>655</v>
      </c>
      <c r="AC176" s="2" t="s">
        <v>899</v>
      </c>
      <c r="AD176" s="2" t="s">
        <v>649</v>
      </c>
      <c r="AE176" s="47" t="s">
        <v>946</v>
      </c>
      <c r="AF176" s="2" t="s">
        <v>647</v>
      </c>
      <c r="AG176" s="47" t="s">
        <v>966</v>
      </c>
      <c r="AH176" s="2" t="s">
        <v>101</v>
      </c>
      <c r="AI176" s="47"/>
      <c r="AK176" s="1" t="s">
        <v>101</v>
      </c>
      <c r="AL176" s="1" t="s">
        <v>101</v>
      </c>
      <c r="AM176" s="1" t="s">
        <v>101</v>
      </c>
      <c r="AN176" s="1" t="s">
        <v>101</v>
      </c>
      <c r="AO176" s="1">
        <v>5.2</v>
      </c>
      <c r="AP176" s="1" t="s">
        <v>101</v>
      </c>
      <c r="AQ176" s="1" t="s">
        <v>101</v>
      </c>
      <c r="AR176" s="1">
        <v>3.6</v>
      </c>
      <c r="AS176" s="1" t="s">
        <v>101</v>
      </c>
      <c r="AT176" s="2">
        <v>31</v>
      </c>
      <c r="AU176" s="47">
        <v>31</v>
      </c>
      <c r="AV176" s="1" t="s">
        <v>101</v>
      </c>
      <c r="AW176" s="2" t="s">
        <v>657</v>
      </c>
      <c r="AY176" s="1"/>
    </row>
    <row r="177" spans="1:51" s="2" customFormat="1" ht="27.75" customHeight="1" x14ac:dyDescent="0.35">
      <c r="A177" s="1">
        <v>41</v>
      </c>
      <c r="B177" s="2" t="s">
        <v>643</v>
      </c>
      <c r="C177" s="2" t="s">
        <v>644</v>
      </c>
      <c r="D177" s="2" t="s">
        <v>645</v>
      </c>
      <c r="E177" s="28" t="s">
        <v>878</v>
      </c>
      <c r="F177" s="2" t="s">
        <v>646</v>
      </c>
      <c r="G177" s="2" t="s">
        <v>101</v>
      </c>
      <c r="K177" s="1">
        <v>2010</v>
      </c>
      <c r="L177" s="1">
        <v>2012</v>
      </c>
      <c r="M177" s="2" t="s">
        <v>654</v>
      </c>
      <c r="N177" s="47" t="s">
        <v>884</v>
      </c>
      <c r="O177" s="2" t="s">
        <v>653</v>
      </c>
      <c r="P177" s="47" t="s">
        <v>534</v>
      </c>
      <c r="Q177" s="26" t="s">
        <v>93</v>
      </c>
      <c r="R177" s="26">
        <v>11</v>
      </c>
      <c r="S177" s="1" t="s">
        <v>101</v>
      </c>
      <c r="T177" s="1" t="s">
        <v>101</v>
      </c>
      <c r="U177" s="1" t="s">
        <v>101</v>
      </c>
      <c r="V177" s="1">
        <v>7.3</v>
      </c>
      <c r="W177" s="2">
        <v>56000</v>
      </c>
      <c r="X177" s="47">
        <v>185</v>
      </c>
      <c r="Y177" s="15">
        <v>40701</v>
      </c>
      <c r="Z177" s="15"/>
      <c r="AA177" s="2" t="s">
        <v>656</v>
      </c>
      <c r="AB177" s="2" t="s">
        <v>655</v>
      </c>
      <c r="AC177" s="2" t="s">
        <v>899</v>
      </c>
      <c r="AD177" s="2" t="s">
        <v>648</v>
      </c>
      <c r="AE177" s="47" t="s">
        <v>916</v>
      </c>
      <c r="AF177" s="1" t="s">
        <v>651</v>
      </c>
      <c r="AG177" s="47" t="s">
        <v>966</v>
      </c>
      <c r="AH177" s="2" t="s">
        <v>101</v>
      </c>
      <c r="AI177" s="47"/>
      <c r="AK177" s="1" t="s">
        <v>101</v>
      </c>
      <c r="AL177" s="1" t="s">
        <v>101</v>
      </c>
      <c r="AM177" s="1" t="s">
        <v>101</v>
      </c>
      <c r="AN177" s="1" t="s">
        <v>101</v>
      </c>
      <c r="AO177" s="1">
        <v>7.2</v>
      </c>
      <c r="AP177" s="1" t="s">
        <v>101</v>
      </c>
      <c r="AQ177" s="1" t="s">
        <v>101</v>
      </c>
      <c r="AR177" s="1">
        <v>2.4</v>
      </c>
      <c r="AS177" s="1" t="s">
        <v>101</v>
      </c>
      <c r="AT177" s="2">
        <v>66</v>
      </c>
      <c r="AU177" s="47">
        <v>66</v>
      </c>
      <c r="AV177" s="1" t="s">
        <v>101</v>
      </c>
      <c r="AW177" s="2" t="s">
        <v>657</v>
      </c>
      <c r="AX177" s="1"/>
      <c r="AY177" s="1"/>
    </row>
    <row r="178" spans="1:51" s="2" customFormat="1" ht="27.75" customHeight="1" x14ac:dyDescent="0.35">
      <c r="A178" s="1">
        <v>41</v>
      </c>
      <c r="B178" s="2" t="s">
        <v>643</v>
      </c>
      <c r="C178" s="2" t="s">
        <v>644</v>
      </c>
      <c r="D178" s="2" t="s">
        <v>645</v>
      </c>
      <c r="E178" s="28" t="s">
        <v>878</v>
      </c>
      <c r="F178" s="2" t="s">
        <v>646</v>
      </c>
      <c r="G178" s="2" t="s">
        <v>101</v>
      </c>
      <c r="K178" s="1">
        <v>2010</v>
      </c>
      <c r="L178" s="1">
        <v>2012</v>
      </c>
      <c r="M178" s="2" t="s">
        <v>654</v>
      </c>
      <c r="N178" s="47" t="s">
        <v>884</v>
      </c>
      <c r="O178" s="2" t="s">
        <v>653</v>
      </c>
      <c r="P178" s="47" t="s">
        <v>534</v>
      </c>
      <c r="Q178" s="26" t="s">
        <v>93</v>
      </c>
      <c r="R178" s="26">
        <v>11</v>
      </c>
      <c r="S178" s="1" t="s">
        <v>101</v>
      </c>
      <c r="T178" s="1" t="s">
        <v>101</v>
      </c>
      <c r="U178" s="1" t="s">
        <v>101</v>
      </c>
      <c r="V178" s="1">
        <v>7.3</v>
      </c>
      <c r="W178" s="2">
        <v>56000</v>
      </c>
      <c r="X178" s="47">
        <v>185</v>
      </c>
      <c r="Y178" s="15">
        <v>40701</v>
      </c>
      <c r="Z178" s="15"/>
      <c r="AA178" s="2" t="s">
        <v>656</v>
      </c>
      <c r="AB178" s="2" t="s">
        <v>655</v>
      </c>
      <c r="AC178" s="2" t="s">
        <v>899</v>
      </c>
      <c r="AD178" s="2" t="s">
        <v>649</v>
      </c>
      <c r="AE178" s="47" t="s">
        <v>946</v>
      </c>
      <c r="AF178" s="1" t="s">
        <v>651</v>
      </c>
      <c r="AG178" s="47" t="s">
        <v>966</v>
      </c>
      <c r="AH178" s="2" t="s">
        <v>101</v>
      </c>
      <c r="AI178" s="47"/>
      <c r="AK178" s="1" t="s">
        <v>101</v>
      </c>
      <c r="AL178" s="1" t="s">
        <v>101</v>
      </c>
      <c r="AM178" s="1" t="s">
        <v>101</v>
      </c>
      <c r="AN178" s="1" t="s">
        <v>101</v>
      </c>
      <c r="AO178" s="1">
        <v>7.2</v>
      </c>
      <c r="AP178" s="1" t="s">
        <v>101</v>
      </c>
      <c r="AQ178" s="1" t="s">
        <v>101</v>
      </c>
      <c r="AR178" s="1">
        <v>5.6</v>
      </c>
      <c r="AS178" s="1" t="s">
        <v>101</v>
      </c>
      <c r="AT178" s="2">
        <v>22</v>
      </c>
      <c r="AU178" s="47">
        <v>22</v>
      </c>
      <c r="AV178" s="1" t="s">
        <v>101</v>
      </c>
      <c r="AW178" s="2" t="s">
        <v>657</v>
      </c>
      <c r="AX178" s="1"/>
      <c r="AY178" s="1"/>
    </row>
    <row r="179" spans="1:51" s="2" customFormat="1" ht="27.75" customHeight="1" x14ac:dyDescent="0.35">
      <c r="A179" s="1">
        <v>41</v>
      </c>
      <c r="B179" s="2" t="s">
        <v>643</v>
      </c>
      <c r="C179" s="2" t="s">
        <v>644</v>
      </c>
      <c r="D179" s="2" t="s">
        <v>645</v>
      </c>
      <c r="E179" s="28" t="s">
        <v>878</v>
      </c>
      <c r="F179" s="2" t="s">
        <v>646</v>
      </c>
      <c r="G179" s="2" t="s">
        <v>101</v>
      </c>
      <c r="K179" s="1">
        <v>2010</v>
      </c>
      <c r="L179" s="1">
        <v>2012</v>
      </c>
      <c r="M179" s="2" t="s">
        <v>654</v>
      </c>
      <c r="N179" s="47" t="s">
        <v>884</v>
      </c>
      <c r="O179" s="2" t="s">
        <v>653</v>
      </c>
      <c r="P179" s="47" t="s">
        <v>534</v>
      </c>
      <c r="Q179" s="26" t="s">
        <v>93</v>
      </c>
      <c r="R179" s="26">
        <v>5</v>
      </c>
      <c r="S179" s="1" t="s">
        <v>101</v>
      </c>
      <c r="T179" s="1" t="s">
        <v>101</v>
      </c>
      <c r="U179" s="1" t="s">
        <v>101</v>
      </c>
      <c r="V179" s="1">
        <v>6.9</v>
      </c>
      <c r="W179" s="2">
        <v>56000</v>
      </c>
      <c r="X179" s="47">
        <v>106</v>
      </c>
      <c r="Y179" s="15">
        <v>41080</v>
      </c>
      <c r="Z179" s="15"/>
      <c r="AA179" s="2" t="s">
        <v>656</v>
      </c>
      <c r="AB179" s="2" t="s">
        <v>655</v>
      </c>
      <c r="AC179" s="2" t="s">
        <v>899</v>
      </c>
      <c r="AD179" s="2" t="s">
        <v>648</v>
      </c>
      <c r="AE179" s="47" t="s">
        <v>916</v>
      </c>
      <c r="AF179" s="1" t="s">
        <v>651</v>
      </c>
      <c r="AG179" s="47" t="s">
        <v>966</v>
      </c>
      <c r="AH179" s="2" t="s">
        <v>101</v>
      </c>
      <c r="AI179" s="47"/>
      <c r="AK179" s="1" t="s">
        <v>101</v>
      </c>
      <c r="AL179" s="1" t="s">
        <v>101</v>
      </c>
      <c r="AM179" s="1" t="s">
        <v>101</v>
      </c>
      <c r="AN179" s="1" t="s">
        <v>101</v>
      </c>
      <c r="AO179" s="2">
        <v>10.3</v>
      </c>
      <c r="AP179" s="1" t="s">
        <v>101</v>
      </c>
      <c r="AQ179" s="1" t="s">
        <v>101</v>
      </c>
      <c r="AR179" s="1">
        <v>3.5</v>
      </c>
      <c r="AS179" s="1" t="s">
        <v>101</v>
      </c>
      <c r="AT179" s="2">
        <v>66</v>
      </c>
      <c r="AU179" s="47">
        <v>66</v>
      </c>
      <c r="AV179" s="1" t="s">
        <v>101</v>
      </c>
      <c r="AW179" s="2" t="s">
        <v>657</v>
      </c>
      <c r="AX179" s="1"/>
      <c r="AY179" s="1"/>
    </row>
    <row r="180" spans="1:51" s="2" customFormat="1" ht="27.75" customHeight="1" x14ac:dyDescent="0.35">
      <c r="A180" s="1">
        <v>41</v>
      </c>
      <c r="B180" s="2" t="s">
        <v>643</v>
      </c>
      <c r="C180" s="2" t="s">
        <v>644</v>
      </c>
      <c r="D180" s="2" t="s">
        <v>645</v>
      </c>
      <c r="E180" s="28" t="s">
        <v>878</v>
      </c>
      <c r="F180" s="2" t="s">
        <v>646</v>
      </c>
      <c r="G180" s="2" t="s">
        <v>101</v>
      </c>
      <c r="K180" s="1">
        <v>2010</v>
      </c>
      <c r="L180" s="1">
        <v>2012</v>
      </c>
      <c r="M180" s="2" t="s">
        <v>654</v>
      </c>
      <c r="N180" s="47" t="s">
        <v>884</v>
      </c>
      <c r="O180" s="2" t="s">
        <v>653</v>
      </c>
      <c r="P180" s="47" t="s">
        <v>534</v>
      </c>
      <c r="Q180" s="26" t="s">
        <v>93</v>
      </c>
      <c r="R180" s="26">
        <v>5</v>
      </c>
      <c r="S180" s="1" t="s">
        <v>101</v>
      </c>
      <c r="T180" s="1" t="s">
        <v>101</v>
      </c>
      <c r="U180" s="1" t="s">
        <v>101</v>
      </c>
      <c r="V180" s="1">
        <v>6.9</v>
      </c>
      <c r="W180" s="2">
        <v>56000</v>
      </c>
      <c r="X180" s="47">
        <v>106</v>
      </c>
      <c r="Y180" s="15">
        <v>41080</v>
      </c>
      <c r="Z180" s="15"/>
      <c r="AA180" s="2" t="s">
        <v>656</v>
      </c>
      <c r="AB180" s="2" t="s">
        <v>655</v>
      </c>
      <c r="AC180" s="2" t="s">
        <v>899</v>
      </c>
      <c r="AD180" s="2" t="s">
        <v>649</v>
      </c>
      <c r="AE180" s="47" t="s">
        <v>946</v>
      </c>
      <c r="AF180" s="1" t="s">
        <v>651</v>
      </c>
      <c r="AG180" s="47" t="s">
        <v>966</v>
      </c>
      <c r="AH180" s="2" t="s">
        <v>101</v>
      </c>
      <c r="AI180" s="47"/>
      <c r="AK180" s="1" t="s">
        <v>101</v>
      </c>
      <c r="AL180" s="1" t="s">
        <v>101</v>
      </c>
      <c r="AM180" s="1" t="s">
        <v>101</v>
      </c>
      <c r="AN180" s="1" t="s">
        <v>101</v>
      </c>
      <c r="AO180" s="2">
        <v>10.3</v>
      </c>
      <c r="AP180" s="1" t="s">
        <v>101</v>
      </c>
      <c r="AQ180" s="1" t="s">
        <v>101</v>
      </c>
      <c r="AR180" s="1">
        <v>9</v>
      </c>
      <c r="AS180" s="1" t="s">
        <v>101</v>
      </c>
      <c r="AT180" s="2">
        <v>13</v>
      </c>
      <c r="AU180" s="47">
        <v>13</v>
      </c>
      <c r="AV180" s="1" t="s">
        <v>101</v>
      </c>
      <c r="AW180" s="2" t="s">
        <v>657</v>
      </c>
      <c r="AX180" s="1"/>
      <c r="AY180" s="1"/>
    </row>
    <row r="181" spans="1:51" s="2" customFormat="1" ht="27.75" customHeight="1" x14ac:dyDescent="0.35">
      <c r="A181" s="1">
        <v>41</v>
      </c>
      <c r="B181" s="2" t="s">
        <v>643</v>
      </c>
      <c r="C181" s="2" t="s">
        <v>644</v>
      </c>
      <c r="D181" s="2" t="s">
        <v>645</v>
      </c>
      <c r="E181" s="28" t="s">
        <v>878</v>
      </c>
      <c r="F181" s="2" t="s">
        <v>646</v>
      </c>
      <c r="G181" s="2" t="s">
        <v>101</v>
      </c>
      <c r="K181" s="1">
        <v>2010</v>
      </c>
      <c r="L181" s="1">
        <v>2012</v>
      </c>
      <c r="M181" s="2" t="s">
        <v>654</v>
      </c>
      <c r="N181" s="47" t="s">
        <v>884</v>
      </c>
      <c r="O181" s="2" t="s">
        <v>653</v>
      </c>
      <c r="P181" s="47" t="s">
        <v>534</v>
      </c>
      <c r="Q181" s="26" t="s">
        <v>93</v>
      </c>
      <c r="R181" s="26">
        <v>5</v>
      </c>
      <c r="S181" s="1" t="s">
        <v>101</v>
      </c>
      <c r="T181" s="1" t="s">
        <v>101</v>
      </c>
      <c r="U181" s="1" t="s">
        <v>101</v>
      </c>
      <c r="V181" s="1">
        <v>6.9</v>
      </c>
      <c r="W181" s="2">
        <v>56000</v>
      </c>
      <c r="X181" s="47">
        <v>106</v>
      </c>
      <c r="Y181" s="15">
        <v>41080</v>
      </c>
      <c r="Z181" s="15"/>
      <c r="AA181" s="2" t="s">
        <v>656</v>
      </c>
      <c r="AB181" s="2" t="s">
        <v>655</v>
      </c>
      <c r="AC181" s="2" t="s">
        <v>899</v>
      </c>
      <c r="AD181" s="2" t="s">
        <v>650</v>
      </c>
      <c r="AE181" s="47" t="s">
        <v>946</v>
      </c>
      <c r="AF181" s="1" t="s">
        <v>651</v>
      </c>
      <c r="AG181" s="47" t="s">
        <v>966</v>
      </c>
      <c r="AH181" s="2" t="s">
        <v>101</v>
      </c>
      <c r="AI181" s="47"/>
      <c r="AK181" s="1" t="s">
        <v>101</v>
      </c>
      <c r="AL181" s="1" t="s">
        <v>101</v>
      </c>
      <c r="AM181" s="1" t="s">
        <v>101</v>
      </c>
      <c r="AN181" s="1" t="s">
        <v>101</v>
      </c>
      <c r="AO181" s="2">
        <v>10.3</v>
      </c>
      <c r="AP181" s="1" t="s">
        <v>101</v>
      </c>
      <c r="AQ181" s="1" t="s">
        <v>101</v>
      </c>
      <c r="AR181" s="1">
        <v>6.1</v>
      </c>
      <c r="AS181" s="1" t="s">
        <v>101</v>
      </c>
      <c r="AT181" s="2">
        <v>41</v>
      </c>
      <c r="AU181" s="47">
        <v>41</v>
      </c>
      <c r="AV181" s="1" t="s">
        <v>101</v>
      </c>
      <c r="AW181" s="2" t="s">
        <v>657</v>
      </c>
      <c r="AX181" s="1"/>
      <c r="AY181" s="1"/>
    </row>
    <row r="182" spans="1:51" s="2" customFormat="1" ht="27.75" customHeight="1" x14ac:dyDescent="0.35">
      <c r="A182" s="1">
        <v>42</v>
      </c>
      <c r="B182" s="2" t="s">
        <v>658</v>
      </c>
      <c r="C182" s="2" t="s">
        <v>659</v>
      </c>
      <c r="D182" s="2" t="s">
        <v>114</v>
      </c>
      <c r="E182" s="2" t="s">
        <v>660</v>
      </c>
      <c r="F182" s="2" t="s">
        <v>661</v>
      </c>
      <c r="G182" s="2" t="s">
        <v>663</v>
      </c>
      <c r="H182" s="2">
        <v>370</v>
      </c>
      <c r="I182" s="2">
        <v>130</v>
      </c>
      <c r="J182" s="2" t="s">
        <v>881</v>
      </c>
      <c r="K182" s="15" t="s">
        <v>664</v>
      </c>
      <c r="L182" s="15" t="s">
        <v>664</v>
      </c>
      <c r="M182" s="2" t="s">
        <v>662</v>
      </c>
      <c r="N182" s="47" t="s">
        <v>885</v>
      </c>
      <c r="O182" s="2" t="s">
        <v>666</v>
      </c>
      <c r="P182" s="47" t="s">
        <v>889</v>
      </c>
      <c r="Q182" s="26" t="s">
        <v>93</v>
      </c>
      <c r="R182" s="26">
        <v>1.6</v>
      </c>
      <c r="S182" s="1" t="s">
        <v>101</v>
      </c>
      <c r="T182" s="33">
        <v>63</v>
      </c>
      <c r="U182" s="1" t="s">
        <v>101</v>
      </c>
      <c r="V182" s="1">
        <v>7.5</v>
      </c>
      <c r="W182" s="2">
        <v>8</v>
      </c>
      <c r="X182" s="47">
        <v>85</v>
      </c>
      <c r="Y182" s="15" t="s">
        <v>669</v>
      </c>
      <c r="Z182" s="15"/>
      <c r="AA182" s="2" t="s">
        <v>672</v>
      </c>
      <c r="AB182" s="2" t="s">
        <v>671</v>
      </c>
      <c r="AC182" s="2" t="s">
        <v>902</v>
      </c>
      <c r="AD182" s="2" t="s">
        <v>668</v>
      </c>
      <c r="AE182" s="47" t="s">
        <v>1035</v>
      </c>
      <c r="AF182" s="2" t="s">
        <v>667</v>
      </c>
      <c r="AG182" s="47" t="s">
        <v>966</v>
      </c>
      <c r="AH182" s="2" t="s">
        <v>101</v>
      </c>
      <c r="AI182" s="47"/>
      <c r="AK182" s="2" t="s">
        <v>101</v>
      </c>
      <c r="AL182" s="2" t="s">
        <v>101</v>
      </c>
      <c r="AM182" s="1">
        <v>6.2</v>
      </c>
      <c r="AN182" s="1" t="s">
        <v>101</v>
      </c>
      <c r="AO182" s="1">
        <v>3.9</v>
      </c>
      <c r="AP182" s="1">
        <v>2.7</v>
      </c>
      <c r="AQ182" s="1" t="s">
        <v>101</v>
      </c>
      <c r="AR182" s="1">
        <v>2.1</v>
      </c>
      <c r="AS182" s="1" t="s">
        <v>101</v>
      </c>
      <c r="AT182" s="2">
        <f>((AO182-AR182)/AO182)*100</f>
        <v>46.153846153846153</v>
      </c>
      <c r="AU182" s="47">
        <v>46.153846153846153</v>
      </c>
      <c r="AV182" s="1" t="s">
        <v>101</v>
      </c>
      <c r="AW182" s="2" t="s">
        <v>674</v>
      </c>
      <c r="AX182" s="1" t="s">
        <v>673</v>
      </c>
      <c r="AY182" s="1"/>
    </row>
    <row r="183" spans="1:51" s="11" customFormat="1" ht="27.75" customHeight="1" thickBot="1" x14ac:dyDescent="0.4">
      <c r="A183" s="8">
        <v>42</v>
      </c>
      <c r="B183" s="11" t="s">
        <v>658</v>
      </c>
      <c r="C183" s="11" t="s">
        <v>659</v>
      </c>
      <c r="D183" s="11" t="s">
        <v>114</v>
      </c>
      <c r="E183" s="11" t="s">
        <v>660</v>
      </c>
      <c r="F183" s="11" t="s">
        <v>661</v>
      </c>
      <c r="G183" s="11" t="s">
        <v>663</v>
      </c>
      <c r="H183" s="2">
        <v>370</v>
      </c>
      <c r="I183" s="2">
        <v>130</v>
      </c>
      <c r="J183" s="2" t="s">
        <v>881</v>
      </c>
      <c r="K183" s="17" t="s">
        <v>665</v>
      </c>
      <c r="L183" s="17" t="s">
        <v>665</v>
      </c>
      <c r="M183" s="11" t="s">
        <v>662</v>
      </c>
      <c r="N183" s="47" t="s">
        <v>885</v>
      </c>
      <c r="O183" s="11" t="s">
        <v>666</v>
      </c>
      <c r="P183" s="47" t="s">
        <v>889</v>
      </c>
      <c r="Q183" s="27" t="s">
        <v>93</v>
      </c>
      <c r="R183" s="27">
        <v>1.4</v>
      </c>
      <c r="S183" s="8" t="s">
        <v>101</v>
      </c>
      <c r="T183" s="35">
        <v>77</v>
      </c>
      <c r="U183" s="8" t="s">
        <v>101</v>
      </c>
      <c r="V183" s="8">
        <v>6.9</v>
      </c>
      <c r="W183" s="11">
        <v>8</v>
      </c>
      <c r="X183" s="49">
        <v>85</v>
      </c>
      <c r="Y183" s="17" t="s">
        <v>670</v>
      </c>
      <c r="Z183" s="17"/>
      <c r="AA183" s="11" t="s">
        <v>672</v>
      </c>
      <c r="AB183" s="11" t="s">
        <v>671</v>
      </c>
      <c r="AC183" s="2" t="s">
        <v>902</v>
      </c>
      <c r="AD183" s="11" t="s">
        <v>668</v>
      </c>
      <c r="AE183" s="49" t="s">
        <v>1035</v>
      </c>
      <c r="AF183" s="11" t="s">
        <v>667</v>
      </c>
      <c r="AG183" s="47" t="s">
        <v>966</v>
      </c>
      <c r="AH183" s="11" t="s">
        <v>101</v>
      </c>
      <c r="AI183" s="49"/>
      <c r="AK183" s="11" t="s">
        <v>101</v>
      </c>
      <c r="AL183" s="11" t="s">
        <v>101</v>
      </c>
      <c r="AM183" s="8">
        <v>23</v>
      </c>
      <c r="AN183" s="8" t="s">
        <v>101</v>
      </c>
      <c r="AO183" s="8">
        <v>17.600000000000001</v>
      </c>
      <c r="AP183" s="8">
        <v>4.3</v>
      </c>
      <c r="AQ183" s="8" t="s">
        <v>101</v>
      </c>
      <c r="AR183" s="8">
        <v>3.3</v>
      </c>
      <c r="AS183" s="8" t="s">
        <v>101</v>
      </c>
      <c r="AT183" s="11">
        <f>((AO183-AR183)/AO183)*100</f>
        <v>81.25</v>
      </c>
      <c r="AU183" s="49">
        <v>81.25</v>
      </c>
      <c r="AV183" s="8" t="s">
        <v>101</v>
      </c>
      <c r="AW183" s="11" t="s">
        <v>674</v>
      </c>
      <c r="AX183" s="8"/>
      <c r="AY183" s="8"/>
    </row>
    <row r="184" spans="1:51" s="2" customFormat="1" ht="27.75" customHeight="1" thickTop="1" x14ac:dyDescent="0.35">
      <c r="A184" s="1">
        <v>43</v>
      </c>
      <c r="B184" s="2" t="s">
        <v>675</v>
      </c>
      <c r="C184" s="2" t="s">
        <v>676</v>
      </c>
      <c r="D184" s="2" t="s">
        <v>308</v>
      </c>
      <c r="E184" s="28" t="s">
        <v>879</v>
      </c>
      <c r="F184" s="2" t="s">
        <v>682</v>
      </c>
      <c r="G184" s="2" t="s">
        <v>684</v>
      </c>
      <c r="J184" s="2" t="s">
        <v>880</v>
      </c>
      <c r="K184" s="1">
        <v>2010</v>
      </c>
      <c r="L184" s="1">
        <v>2010</v>
      </c>
      <c r="M184" s="2" t="s">
        <v>455</v>
      </c>
      <c r="N184" s="47" t="s">
        <v>886</v>
      </c>
      <c r="O184" s="2" t="s">
        <v>681</v>
      </c>
      <c r="P184" s="47" t="s">
        <v>534</v>
      </c>
      <c r="Q184" s="26" t="s">
        <v>319</v>
      </c>
      <c r="R184" s="26">
        <v>19.7</v>
      </c>
      <c r="S184" s="1" t="s">
        <v>101</v>
      </c>
      <c r="T184" s="1" t="s">
        <v>101</v>
      </c>
      <c r="U184" s="1" t="s">
        <v>101</v>
      </c>
      <c r="V184" s="1">
        <v>8.1</v>
      </c>
      <c r="W184" s="2" t="s">
        <v>101</v>
      </c>
      <c r="X184" s="47">
        <v>400</v>
      </c>
      <c r="Y184" s="15">
        <v>40345</v>
      </c>
      <c r="Z184" s="15"/>
      <c r="AA184" s="2" t="s">
        <v>481</v>
      </c>
      <c r="AB184" s="2" t="s">
        <v>683</v>
      </c>
      <c r="AC184" s="2" t="s">
        <v>683</v>
      </c>
      <c r="AD184" s="2" t="s">
        <v>680</v>
      </c>
      <c r="AE184" s="26" t="s">
        <v>923</v>
      </c>
      <c r="AF184" s="2" t="s">
        <v>680</v>
      </c>
      <c r="AG184" s="47" t="s">
        <v>966</v>
      </c>
      <c r="AH184" s="2" t="s">
        <v>677</v>
      </c>
      <c r="AI184" s="47" t="s">
        <v>947</v>
      </c>
      <c r="AK184" s="1">
        <v>8.6</v>
      </c>
      <c r="AL184" s="1">
        <v>196</v>
      </c>
      <c r="AM184" s="1" t="s">
        <v>101</v>
      </c>
      <c r="AN184" s="1" t="s">
        <v>101</v>
      </c>
      <c r="AO184" s="1" t="s">
        <v>101</v>
      </c>
      <c r="AP184" s="1" t="s">
        <v>101</v>
      </c>
      <c r="AQ184" s="1" t="s">
        <v>101</v>
      </c>
      <c r="AR184" s="1" t="s">
        <v>101</v>
      </c>
      <c r="AS184" s="1" t="s">
        <v>101</v>
      </c>
      <c r="AT184" s="2">
        <v>74.358974358974365</v>
      </c>
      <c r="AU184" s="47">
        <v>74.358974358974365</v>
      </c>
      <c r="AV184" s="1" t="s">
        <v>101</v>
      </c>
      <c r="AW184" s="2" t="s">
        <v>685</v>
      </c>
      <c r="AX184" s="1"/>
      <c r="AY184" s="1"/>
    </row>
    <row r="185" spans="1:51" s="2" customFormat="1" ht="27.75" customHeight="1" x14ac:dyDescent="0.35">
      <c r="A185" s="1">
        <v>43</v>
      </c>
      <c r="B185" s="2" t="s">
        <v>675</v>
      </c>
      <c r="C185" s="2" t="s">
        <v>676</v>
      </c>
      <c r="D185" s="2" t="s">
        <v>308</v>
      </c>
      <c r="E185" s="28" t="s">
        <v>879</v>
      </c>
      <c r="F185" s="2" t="s">
        <v>682</v>
      </c>
      <c r="G185" s="2" t="s">
        <v>684</v>
      </c>
      <c r="J185" s="2" t="s">
        <v>880</v>
      </c>
      <c r="K185" s="1">
        <v>2010</v>
      </c>
      <c r="L185" s="1">
        <v>2010</v>
      </c>
      <c r="M185" s="2" t="s">
        <v>455</v>
      </c>
      <c r="N185" s="47" t="s">
        <v>886</v>
      </c>
      <c r="O185" s="2" t="s">
        <v>681</v>
      </c>
      <c r="P185" s="47" t="s">
        <v>534</v>
      </c>
      <c r="Q185" s="26" t="s">
        <v>319</v>
      </c>
      <c r="R185" s="26">
        <v>19.7</v>
      </c>
      <c r="S185" s="1" t="s">
        <v>101</v>
      </c>
      <c r="T185" s="1" t="s">
        <v>101</v>
      </c>
      <c r="U185" s="1" t="s">
        <v>101</v>
      </c>
      <c r="V185" s="1">
        <v>8.1</v>
      </c>
      <c r="W185" s="2" t="s">
        <v>101</v>
      </c>
      <c r="X185" s="47">
        <v>400</v>
      </c>
      <c r="Y185" s="15">
        <v>40345</v>
      </c>
      <c r="Z185" s="15"/>
      <c r="AA185" s="2" t="s">
        <v>481</v>
      </c>
      <c r="AB185" s="2" t="s">
        <v>683</v>
      </c>
      <c r="AC185" s="2" t="s">
        <v>683</v>
      </c>
      <c r="AD185" s="2" t="s">
        <v>680</v>
      </c>
      <c r="AE185" s="26" t="s">
        <v>923</v>
      </c>
      <c r="AF185" s="2" t="s">
        <v>680</v>
      </c>
      <c r="AG185" s="47" t="s">
        <v>966</v>
      </c>
      <c r="AH185" s="2" t="s">
        <v>678</v>
      </c>
      <c r="AI185" s="47" t="s">
        <v>949</v>
      </c>
      <c r="AK185" s="1">
        <v>8.6</v>
      </c>
      <c r="AL185" s="1">
        <v>217</v>
      </c>
      <c r="AM185" s="1" t="s">
        <v>101</v>
      </c>
      <c r="AN185" s="1" t="s">
        <v>101</v>
      </c>
      <c r="AO185" s="1" t="s">
        <v>101</v>
      </c>
      <c r="AP185" s="1" t="s">
        <v>101</v>
      </c>
      <c r="AQ185" s="1" t="s">
        <v>101</v>
      </c>
      <c r="AR185" s="1" t="s">
        <v>101</v>
      </c>
      <c r="AS185" s="1" t="s">
        <v>101</v>
      </c>
      <c r="AT185" s="2">
        <v>74.786324786324784</v>
      </c>
      <c r="AU185" s="47">
        <v>74.786324786324784</v>
      </c>
      <c r="AV185" s="1" t="s">
        <v>101</v>
      </c>
      <c r="AW185" s="2" t="s">
        <v>685</v>
      </c>
      <c r="AX185" s="1"/>
      <c r="AY185" s="1"/>
    </row>
    <row r="186" spans="1:51" s="2" customFormat="1" ht="27.75" customHeight="1" x14ac:dyDescent="0.35">
      <c r="A186" s="1">
        <v>43</v>
      </c>
      <c r="B186" s="2" t="s">
        <v>675</v>
      </c>
      <c r="C186" s="2" t="s">
        <v>676</v>
      </c>
      <c r="D186" s="2" t="s">
        <v>308</v>
      </c>
      <c r="E186" s="28" t="s">
        <v>879</v>
      </c>
      <c r="F186" s="2" t="s">
        <v>682</v>
      </c>
      <c r="G186" s="2" t="s">
        <v>684</v>
      </c>
      <c r="J186" s="2" t="s">
        <v>880</v>
      </c>
      <c r="K186" s="1">
        <v>2010</v>
      </c>
      <c r="L186" s="1">
        <v>2010</v>
      </c>
      <c r="M186" s="2" t="s">
        <v>455</v>
      </c>
      <c r="N186" s="47" t="s">
        <v>886</v>
      </c>
      <c r="O186" s="2" t="s">
        <v>681</v>
      </c>
      <c r="P186" s="47" t="s">
        <v>534</v>
      </c>
      <c r="Q186" s="26" t="s">
        <v>319</v>
      </c>
      <c r="R186" s="26">
        <v>19.7</v>
      </c>
      <c r="S186" s="1" t="s">
        <v>101</v>
      </c>
      <c r="T186" s="1" t="s">
        <v>101</v>
      </c>
      <c r="U186" s="1" t="s">
        <v>101</v>
      </c>
      <c r="V186" s="1">
        <v>8.1</v>
      </c>
      <c r="W186" s="2" t="s">
        <v>101</v>
      </c>
      <c r="X186" s="47">
        <v>400</v>
      </c>
      <c r="Y186" s="15">
        <v>40345</v>
      </c>
      <c r="Z186" s="15"/>
      <c r="AA186" s="2" t="s">
        <v>481</v>
      </c>
      <c r="AB186" s="2" t="s">
        <v>683</v>
      </c>
      <c r="AC186" s="2" t="s">
        <v>683</v>
      </c>
      <c r="AD186" s="2" t="s">
        <v>680</v>
      </c>
      <c r="AE186" s="26" t="s">
        <v>923</v>
      </c>
      <c r="AF186" s="2" t="s">
        <v>680</v>
      </c>
      <c r="AG186" s="47" t="s">
        <v>966</v>
      </c>
      <c r="AH186" s="2" t="s">
        <v>679</v>
      </c>
      <c r="AI186" s="47" t="s">
        <v>948</v>
      </c>
      <c r="AK186" s="1">
        <v>8.3000000000000007</v>
      </c>
      <c r="AL186" s="1">
        <v>205</v>
      </c>
      <c r="AM186" s="1" t="s">
        <v>101</v>
      </c>
      <c r="AN186" s="1" t="s">
        <v>101</v>
      </c>
      <c r="AO186" s="1" t="s">
        <v>101</v>
      </c>
      <c r="AP186" s="1" t="s">
        <v>101</v>
      </c>
      <c r="AQ186" s="1" t="s">
        <v>101</v>
      </c>
      <c r="AR186" s="1" t="s">
        <v>101</v>
      </c>
      <c r="AS186" s="1" t="s">
        <v>101</v>
      </c>
      <c r="AT186" s="2">
        <v>56.581196581196579</v>
      </c>
      <c r="AU186" s="47">
        <v>56.581196581196579</v>
      </c>
      <c r="AV186" s="1" t="s">
        <v>101</v>
      </c>
      <c r="AW186" s="2" t="s">
        <v>685</v>
      </c>
      <c r="AX186" s="1"/>
      <c r="AY186" s="1"/>
    </row>
    <row r="187" spans="1:51" s="2" customFormat="1" ht="27.75" customHeight="1" x14ac:dyDescent="0.35">
      <c r="A187" s="1">
        <v>44</v>
      </c>
      <c r="B187" s="2" t="s">
        <v>686</v>
      </c>
      <c r="C187" s="2" t="s">
        <v>687</v>
      </c>
      <c r="D187" s="2" t="s">
        <v>616</v>
      </c>
      <c r="E187" s="28" t="s">
        <v>877</v>
      </c>
      <c r="F187" s="2" t="s">
        <v>101</v>
      </c>
      <c r="G187" s="2" t="s">
        <v>688</v>
      </c>
      <c r="J187" s="2" t="s">
        <v>882</v>
      </c>
      <c r="K187" s="1" t="s">
        <v>689</v>
      </c>
      <c r="L187" s="1" t="s">
        <v>690</v>
      </c>
      <c r="M187" s="2" t="s">
        <v>691</v>
      </c>
      <c r="N187" s="47" t="s">
        <v>886</v>
      </c>
      <c r="O187" s="2" t="s">
        <v>692</v>
      </c>
      <c r="P187" s="47" t="s">
        <v>534</v>
      </c>
      <c r="Q187" s="26" t="s">
        <v>93</v>
      </c>
      <c r="R187" s="26" t="s">
        <v>101</v>
      </c>
      <c r="S187" s="1" t="s">
        <v>101</v>
      </c>
      <c r="T187" s="1" t="s">
        <v>101</v>
      </c>
      <c r="U187" s="1" t="s">
        <v>101</v>
      </c>
      <c r="V187" s="1" t="s">
        <v>101</v>
      </c>
      <c r="W187" s="2">
        <v>46750</v>
      </c>
      <c r="X187" s="47">
        <v>98</v>
      </c>
      <c r="Y187" s="15">
        <v>42185</v>
      </c>
      <c r="Z187" s="15"/>
      <c r="AA187" s="2" t="s">
        <v>698</v>
      </c>
      <c r="AB187" s="2" t="s">
        <v>697</v>
      </c>
      <c r="AC187" s="2" t="s">
        <v>846</v>
      </c>
      <c r="AD187" s="2" t="s">
        <v>694</v>
      </c>
      <c r="AE187" s="47" t="s">
        <v>917</v>
      </c>
      <c r="AF187" s="2" t="s">
        <v>695</v>
      </c>
      <c r="AG187" s="47" t="s">
        <v>966</v>
      </c>
      <c r="AH187" s="2" t="s">
        <v>101</v>
      </c>
      <c r="AI187" s="47" t="s">
        <v>914</v>
      </c>
      <c r="AK187" s="2" t="s">
        <v>101</v>
      </c>
      <c r="AL187" s="2" t="s">
        <v>101</v>
      </c>
      <c r="AM187" s="2" t="s">
        <v>101</v>
      </c>
      <c r="AN187" s="2" t="s">
        <v>101</v>
      </c>
      <c r="AO187" s="2" t="s">
        <v>101</v>
      </c>
      <c r="AP187" s="2" t="s">
        <v>101</v>
      </c>
      <c r="AQ187" s="2" t="s">
        <v>101</v>
      </c>
      <c r="AR187" s="2" t="s">
        <v>101</v>
      </c>
      <c r="AS187" s="2" t="s">
        <v>101</v>
      </c>
      <c r="AT187" s="2">
        <v>24</v>
      </c>
      <c r="AU187" s="47">
        <v>24</v>
      </c>
      <c r="AV187" s="1" t="s">
        <v>101</v>
      </c>
      <c r="AW187" s="2" t="s">
        <v>700</v>
      </c>
      <c r="AX187" s="1"/>
      <c r="AY187" s="1"/>
    </row>
    <row r="188" spans="1:51" s="2" customFormat="1" ht="27.75" customHeight="1" x14ac:dyDescent="0.35">
      <c r="A188" s="1">
        <v>44</v>
      </c>
      <c r="B188" s="2" t="s">
        <v>686</v>
      </c>
      <c r="C188" s="2" t="s">
        <v>687</v>
      </c>
      <c r="D188" s="2" t="s">
        <v>616</v>
      </c>
      <c r="E188" s="28" t="s">
        <v>877</v>
      </c>
      <c r="F188" s="2" t="s">
        <v>101</v>
      </c>
      <c r="G188" s="2" t="s">
        <v>688</v>
      </c>
      <c r="J188" s="2" t="s">
        <v>882</v>
      </c>
      <c r="K188" s="1" t="s">
        <v>689</v>
      </c>
      <c r="L188" s="1" t="s">
        <v>690</v>
      </c>
      <c r="M188" s="2" t="s">
        <v>691</v>
      </c>
      <c r="N188" s="47" t="s">
        <v>886</v>
      </c>
      <c r="O188" s="2" t="s">
        <v>692</v>
      </c>
      <c r="P188" s="47" t="s">
        <v>534</v>
      </c>
      <c r="Q188" s="26" t="s">
        <v>93</v>
      </c>
      <c r="R188" s="26" t="s">
        <v>101</v>
      </c>
      <c r="S188" s="1" t="s">
        <v>101</v>
      </c>
      <c r="T188" s="1" t="s">
        <v>101</v>
      </c>
      <c r="U188" s="1" t="s">
        <v>101</v>
      </c>
      <c r="V188" s="1" t="s">
        <v>101</v>
      </c>
      <c r="W188" s="2">
        <v>46750</v>
      </c>
      <c r="X188" s="47">
        <v>98</v>
      </c>
      <c r="Y188" s="15">
        <v>42185</v>
      </c>
      <c r="Z188" s="15"/>
      <c r="AA188" s="2" t="s">
        <v>698</v>
      </c>
      <c r="AB188" s="2" t="s">
        <v>697</v>
      </c>
      <c r="AC188" s="2" t="s">
        <v>846</v>
      </c>
      <c r="AD188" s="2" t="s">
        <v>696</v>
      </c>
      <c r="AE188" s="47" t="s">
        <v>936</v>
      </c>
      <c r="AF188" s="2" t="s">
        <v>695</v>
      </c>
      <c r="AG188" s="47" t="s">
        <v>966</v>
      </c>
      <c r="AH188" s="2" t="s">
        <v>101</v>
      </c>
      <c r="AI188" s="47" t="s">
        <v>914</v>
      </c>
      <c r="AK188" s="2" t="s">
        <v>101</v>
      </c>
      <c r="AL188" s="2" t="s">
        <v>101</v>
      </c>
      <c r="AM188" s="2" t="s">
        <v>101</v>
      </c>
      <c r="AN188" s="2" t="s">
        <v>101</v>
      </c>
      <c r="AO188" s="2" t="s">
        <v>101</v>
      </c>
      <c r="AP188" s="2" t="s">
        <v>101</v>
      </c>
      <c r="AQ188" s="2" t="s">
        <v>101</v>
      </c>
      <c r="AR188" s="2" t="s">
        <v>101</v>
      </c>
      <c r="AS188" s="2" t="s">
        <v>101</v>
      </c>
      <c r="AT188" s="2">
        <v>18</v>
      </c>
      <c r="AU188" s="47">
        <v>18</v>
      </c>
      <c r="AV188" s="1" t="s">
        <v>101</v>
      </c>
      <c r="AW188" s="2" t="s">
        <v>700</v>
      </c>
      <c r="AX188" s="1"/>
      <c r="AY188" s="1"/>
    </row>
    <row r="189" spans="1:51" s="2" customFormat="1" ht="27.75" customHeight="1" x14ac:dyDescent="0.35">
      <c r="A189" s="1">
        <v>44</v>
      </c>
      <c r="B189" s="2" t="s">
        <v>686</v>
      </c>
      <c r="C189" s="2" t="s">
        <v>687</v>
      </c>
      <c r="D189" s="2" t="s">
        <v>616</v>
      </c>
      <c r="E189" s="28" t="s">
        <v>877</v>
      </c>
      <c r="F189" s="2" t="s">
        <v>101</v>
      </c>
      <c r="G189" s="2" t="s">
        <v>688</v>
      </c>
      <c r="J189" s="2" t="s">
        <v>882</v>
      </c>
      <c r="K189" s="1" t="s">
        <v>689</v>
      </c>
      <c r="L189" s="1" t="s">
        <v>690</v>
      </c>
      <c r="M189" s="2" t="s">
        <v>691</v>
      </c>
      <c r="N189" s="47" t="s">
        <v>886</v>
      </c>
      <c r="O189" s="2" t="s">
        <v>692</v>
      </c>
      <c r="P189" s="47" t="s">
        <v>534</v>
      </c>
      <c r="Q189" s="26" t="s">
        <v>93</v>
      </c>
      <c r="R189" s="26" t="s">
        <v>101</v>
      </c>
      <c r="S189" s="1" t="s">
        <v>101</v>
      </c>
      <c r="T189" s="1" t="s">
        <v>101</v>
      </c>
      <c r="U189" s="1" t="s">
        <v>101</v>
      </c>
      <c r="V189" s="1" t="s">
        <v>101</v>
      </c>
      <c r="W189" s="2">
        <v>46750</v>
      </c>
      <c r="X189" s="47">
        <v>98</v>
      </c>
      <c r="Y189" s="15">
        <v>42535</v>
      </c>
      <c r="Z189" s="15"/>
      <c r="AA189" s="2" t="s">
        <v>698</v>
      </c>
      <c r="AB189" s="2" t="s">
        <v>697</v>
      </c>
      <c r="AC189" s="2" t="s">
        <v>846</v>
      </c>
      <c r="AD189" s="2" t="s">
        <v>694</v>
      </c>
      <c r="AE189" s="47" t="s">
        <v>917</v>
      </c>
      <c r="AF189" s="2" t="s">
        <v>695</v>
      </c>
      <c r="AG189" s="47" t="s">
        <v>966</v>
      </c>
      <c r="AH189" s="2" t="s">
        <v>101</v>
      </c>
      <c r="AI189" s="47" t="s">
        <v>914</v>
      </c>
      <c r="AK189" s="2" t="s">
        <v>101</v>
      </c>
      <c r="AL189" s="2" t="s">
        <v>101</v>
      </c>
      <c r="AM189" s="2" t="s">
        <v>101</v>
      </c>
      <c r="AN189" s="2" t="s">
        <v>101</v>
      </c>
      <c r="AO189" s="2" t="s">
        <v>101</v>
      </c>
      <c r="AP189" s="2" t="s">
        <v>101</v>
      </c>
      <c r="AQ189" s="2" t="s">
        <v>101</v>
      </c>
      <c r="AR189" s="2" t="s">
        <v>101</v>
      </c>
      <c r="AS189" s="2" t="s">
        <v>101</v>
      </c>
      <c r="AT189" s="2">
        <v>77</v>
      </c>
      <c r="AU189" s="47">
        <v>77</v>
      </c>
      <c r="AV189" s="1" t="s">
        <v>101</v>
      </c>
      <c r="AW189" s="2" t="s">
        <v>700</v>
      </c>
      <c r="AX189" s="1"/>
      <c r="AY189" s="1"/>
    </row>
    <row r="190" spans="1:51" s="2" customFormat="1" ht="27.75" customHeight="1" x14ac:dyDescent="0.35">
      <c r="A190" s="1">
        <v>44</v>
      </c>
      <c r="B190" s="2" t="s">
        <v>686</v>
      </c>
      <c r="C190" s="2" t="s">
        <v>687</v>
      </c>
      <c r="D190" s="2" t="s">
        <v>616</v>
      </c>
      <c r="E190" s="28" t="s">
        <v>877</v>
      </c>
      <c r="F190" s="2" t="s">
        <v>101</v>
      </c>
      <c r="G190" s="2" t="s">
        <v>688</v>
      </c>
      <c r="J190" s="2" t="s">
        <v>882</v>
      </c>
      <c r="K190" s="1" t="s">
        <v>689</v>
      </c>
      <c r="L190" s="1" t="s">
        <v>690</v>
      </c>
      <c r="M190" s="2" t="s">
        <v>691</v>
      </c>
      <c r="N190" s="47" t="s">
        <v>886</v>
      </c>
      <c r="O190" s="2" t="s">
        <v>692</v>
      </c>
      <c r="P190" s="47" t="s">
        <v>534</v>
      </c>
      <c r="Q190" s="26" t="s">
        <v>93</v>
      </c>
      <c r="R190" s="26" t="s">
        <v>101</v>
      </c>
      <c r="S190" s="1" t="s">
        <v>101</v>
      </c>
      <c r="T190" s="1" t="s">
        <v>101</v>
      </c>
      <c r="U190" s="1" t="s">
        <v>101</v>
      </c>
      <c r="V190" s="1" t="s">
        <v>101</v>
      </c>
      <c r="W190" s="2">
        <v>46750</v>
      </c>
      <c r="X190" s="47">
        <v>98</v>
      </c>
      <c r="Y190" s="15">
        <v>42535</v>
      </c>
      <c r="Z190" s="15"/>
      <c r="AA190" s="2" t="s">
        <v>698</v>
      </c>
      <c r="AB190" s="2" t="s">
        <v>697</v>
      </c>
      <c r="AC190" s="2" t="s">
        <v>846</v>
      </c>
      <c r="AD190" s="2" t="s">
        <v>696</v>
      </c>
      <c r="AE190" s="47" t="s">
        <v>936</v>
      </c>
      <c r="AF190" s="2" t="s">
        <v>695</v>
      </c>
      <c r="AG190" s="47" t="s">
        <v>966</v>
      </c>
      <c r="AH190" s="2" t="s">
        <v>101</v>
      </c>
      <c r="AI190" s="47" t="s">
        <v>914</v>
      </c>
      <c r="AK190" s="2" t="s">
        <v>101</v>
      </c>
      <c r="AL190" s="2" t="s">
        <v>101</v>
      </c>
      <c r="AM190" s="2" t="s">
        <v>101</v>
      </c>
      <c r="AN190" s="2" t="s">
        <v>101</v>
      </c>
      <c r="AO190" s="2" t="s">
        <v>101</v>
      </c>
      <c r="AP190" s="2" t="s">
        <v>101</v>
      </c>
      <c r="AQ190" s="2" t="s">
        <v>101</v>
      </c>
      <c r="AR190" s="2" t="s">
        <v>101</v>
      </c>
      <c r="AS190" s="2" t="s">
        <v>101</v>
      </c>
      <c r="AT190" s="2">
        <v>43</v>
      </c>
      <c r="AU190" s="47">
        <v>43</v>
      </c>
      <c r="AV190" s="1" t="s">
        <v>101</v>
      </c>
      <c r="AW190" s="2" t="s">
        <v>700</v>
      </c>
      <c r="AX190" s="1"/>
      <c r="AY190" s="1"/>
    </row>
    <row r="191" spans="1:51" s="2" customFormat="1" ht="27.75" customHeight="1" x14ac:dyDescent="0.35">
      <c r="A191" s="1">
        <v>44</v>
      </c>
      <c r="B191" s="2" t="s">
        <v>686</v>
      </c>
      <c r="C191" s="2" t="s">
        <v>687</v>
      </c>
      <c r="D191" s="2" t="s">
        <v>616</v>
      </c>
      <c r="E191" s="28" t="s">
        <v>877</v>
      </c>
      <c r="F191" s="2" t="s">
        <v>101</v>
      </c>
      <c r="G191" s="2" t="s">
        <v>688</v>
      </c>
      <c r="J191" s="2" t="s">
        <v>882</v>
      </c>
      <c r="K191" s="1" t="s">
        <v>689</v>
      </c>
      <c r="L191" s="1" t="s">
        <v>690</v>
      </c>
      <c r="M191" s="2" t="s">
        <v>691</v>
      </c>
      <c r="N191" s="47" t="s">
        <v>886</v>
      </c>
      <c r="O191" s="2" t="s">
        <v>692</v>
      </c>
      <c r="P191" s="47" t="s">
        <v>534</v>
      </c>
      <c r="Q191" s="26" t="s">
        <v>93</v>
      </c>
      <c r="R191" s="26" t="s">
        <v>101</v>
      </c>
      <c r="S191" s="1" t="s">
        <v>101</v>
      </c>
      <c r="T191" s="1" t="s">
        <v>101</v>
      </c>
      <c r="U191" s="1" t="s">
        <v>101</v>
      </c>
      <c r="V191" s="1" t="s">
        <v>101</v>
      </c>
      <c r="W191" s="2">
        <v>46750</v>
      </c>
      <c r="X191" s="47">
        <v>98</v>
      </c>
      <c r="Y191" s="15" t="s">
        <v>699</v>
      </c>
      <c r="Z191" s="15"/>
      <c r="AA191" s="2" t="s">
        <v>698</v>
      </c>
      <c r="AB191" s="2" t="s">
        <v>697</v>
      </c>
      <c r="AC191" s="2" t="s">
        <v>846</v>
      </c>
      <c r="AD191" s="2" t="s">
        <v>693</v>
      </c>
      <c r="AE191" s="47" t="s">
        <v>1035</v>
      </c>
      <c r="AF191" s="2" t="s">
        <v>695</v>
      </c>
      <c r="AG191" s="47" t="s">
        <v>966</v>
      </c>
      <c r="AH191" s="2" t="s">
        <v>101</v>
      </c>
      <c r="AI191" s="47" t="s">
        <v>914</v>
      </c>
      <c r="AK191" s="2" t="s">
        <v>101</v>
      </c>
      <c r="AL191" s="2" t="s">
        <v>101</v>
      </c>
      <c r="AM191" s="2" t="s">
        <v>101</v>
      </c>
      <c r="AN191" s="2" t="s">
        <v>101</v>
      </c>
      <c r="AO191" s="1">
        <v>37</v>
      </c>
      <c r="AP191" s="1" t="s">
        <v>101</v>
      </c>
      <c r="AQ191" s="1" t="s">
        <v>101</v>
      </c>
      <c r="AR191" s="1">
        <v>1.5</v>
      </c>
      <c r="AS191" s="1" t="s">
        <v>101</v>
      </c>
      <c r="AT191" s="2">
        <f>((AO191-AR191)/AO191)*100</f>
        <v>95.945945945945937</v>
      </c>
      <c r="AU191" s="47">
        <v>95.945945945945937</v>
      </c>
      <c r="AV191" s="1" t="s">
        <v>101</v>
      </c>
      <c r="AW191" s="2" t="s">
        <v>700</v>
      </c>
      <c r="AX191" s="1"/>
      <c r="AY191" s="1"/>
    </row>
    <row r="192" spans="1:51" s="2" customFormat="1" ht="27.75" customHeight="1" x14ac:dyDescent="0.35">
      <c r="A192" s="1">
        <v>44</v>
      </c>
      <c r="B192" s="2" t="s">
        <v>686</v>
      </c>
      <c r="C192" s="2" t="s">
        <v>687</v>
      </c>
      <c r="D192" s="2" t="s">
        <v>616</v>
      </c>
      <c r="E192" s="28" t="s">
        <v>877</v>
      </c>
      <c r="F192" s="2" t="s">
        <v>101</v>
      </c>
      <c r="G192" s="2" t="s">
        <v>688</v>
      </c>
      <c r="J192" s="2" t="s">
        <v>882</v>
      </c>
      <c r="K192" s="1" t="s">
        <v>689</v>
      </c>
      <c r="L192" s="1" t="s">
        <v>690</v>
      </c>
      <c r="M192" s="2" t="s">
        <v>691</v>
      </c>
      <c r="N192" s="47" t="s">
        <v>886</v>
      </c>
      <c r="O192" s="2" t="s">
        <v>692</v>
      </c>
      <c r="P192" s="47" t="s">
        <v>534</v>
      </c>
      <c r="Q192" s="26" t="s">
        <v>93</v>
      </c>
      <c r="R192" s="26" t="s">
        <v>101</v>
      </c>
      <c r="S192" s="1" t="s">
        <v>101</v>
      </c>
      <c r="T192" s="1" t="s">
        <v>101</v>
      </c>
      <c r="U192" s="1" t="s">
        <v>101</v>
      </c>
      <c r="V192" s="1" t="s">
        <v>101</v>
      </c>
      <c r="W192" s="2">
        <v>46750</v>
      </c>
      <c r="X192" s="47">
        <v>98</v>
      </c>
      <c r="Y192" s="15" t="s">
        <v>699</v>
      </c>
      <c r="Z192" s="15"/>
      <c r="AA192" s="2" t="s">
        <v>698</v>
      </c>
      <c r="AB192" s="2" t="s">
        <v>697</v>
      </c>
      <c r="AC192" s="2" t="s">
        <v>846</v>
      </c>
      <c r="AD192" s="2" t="s">
        <v>694</v>
      </c>
      <c r="AE192" s="47" t="s">
        <v>917</v>
      </c>
      <c r="AF192" s="2" t="s">
        <v>695</v>
      </c>
      <c r="AG192" s="47" t="s">
        <v>966</v>
      </c>
      <c r="AH192" s="2" t="s">
        <v>101</v>
      </c>
      <c r="AI192" s="47" t="s">
        <v>914</v>
      </c>
      <c r="AK192" s="2" t="s">
        <v>101</v>
      </c>
      <c r="AL192" s="2" t="s">
        <v>101</v>
      </c>
      <c r="AM192" s="2" t="s">
        <v>101</v>
      </c>
      <c r="AN192" s="2" t="s">
        <v>101</v>
      </c>
      <c r="AO192" s="1">
        <v>37</v>
      </c>
      <c r="AP192" s="1" t="s">
        <v>101</v>
      </c>
      <c r="AQ192" s="1" t="s">
        <v>101</v>
      </c>
      <c r="AR192" s="1">
        <v>18</v>
      </c>
      <c r="AS192" s="1" t="s">
        <v>101</v>
      </c>
      <c r="AT192" s="2">
        <f t="shared" ref="AT192:AT193" si="45">((AO192-AR192)/AO192)*100</f>
        <v>51.351351351351347</v>
      </c>
      <c r="AU192" s="47">
        <v>51.351351351351347</v>
      </c>
      <c r="AV192" s="1" t="s">
        <v>101</v>
      </c>
      <c r="AW192" s="2" t="s">
        <v>700</v>
      </c>
      <c r="AX192" s="1"/>
      <c r="AY192" s="1"/>
    </row>
    <row r="193" spans="1:51" s="2" customFormat="1" ht="27.75" customHeight="1" x14ac:dyDescent="0.35">
      <c r="A193" s="1">
        <v>44</v>
      </c>
      <c r="B193" s="2" t="s">
        <v>686</v>
      </c>
      <c r="C193" s="2" t="s">
        <v>687</v>
      </c>
      <c r="D193" s="2" t="s">
        <v>616</v>
      </c>
      <c r="E193" s="28" t="s">
        <v>877</v>
      </c>
      <c r="F193" s="2" t="s">
        <v>101</v>
      </c>
      <c r="G193" s="2" t="s">
        <v>688</v>
      </c>
      <c r="J193" s="2" t="s">
        <v>882</v>
      </c>
      <c r="K193" s="1" t="s">
        <v>689</v>
      </c>
      <c r="L193" s="1" t="s">
        <v>690</v>
      </c>
      <c r="M193" s="2" t="s">
        <v>691</v>
      </c>
      <c r="N193" s="47" t="s">
        <v>886</v>
      </c>
      <c r="O193" s="2" t="s">
        <v>692</v>
      </c>
      <c r="P193" s="47" t="s">
        <v>534</v>
      </c>
      <c r="Q193" s="26" t="s">
        <v>93</v>
      </c>
      <c r="R193" s="26" t="s">
        <v>101</v>
      </c>
      <c r="S193" s="1" t="s">
        <v>101</v>
      </c>
      <c r="T193" s="1" t="s">
        <v>101</v>
      </c>
      <c r="U193" s="1" t="s">
        <v>101</v>
      </c>
      <c r="V193" s="1" t="s">
        <v>101</v>
      </c>
      <c r="W193" s="2">
        <v>46750</v>
      </c>
      <c r="X193" s="47">
        <v>98</v>
      </c>
      <c r="Y193" s="15" t="s">
        <v>699</v>
      </c>
      <c r="Z193" s="15"/>
      <c r="AA193" s="2" t="s">
        <v>698</v>
      </c>
      <c r="AB193" s="2" t="s">
        <v>697</v>
      </c>
      <c r="AC193" s="2" t="s">
        <v>846</v>
      </c>
      <c r="AD193" s="2" t="s">
        <v>696</v>
      </c>
      <c r="AE193" s="47" t="s">
        <v>936</v>
      </c>
      <c r="AF193" s="2" t="s">
        <v>695</v>
      </c>
      <c r="AG193" s="47" t="s">
        <v>966</v>
      </c>
      <c r="AH193" s="2" t="s">
        <v>101</v>
      </c>
      <c r="AI193" s="47" t="s">
        <v>914</v>
      </c>
      <c r="AK193" s="2" t="s">
        <v>101</v>
      </c>
      <c r="AL193" s="2" t="s">
        <v>101</v>
      </c>
      <c r="AM193" s="2" t="s">
        <v>101</v>
      </c>
      <c r="AN193" s="2" t="s">
        <v>101</v>
      </c>
      <c r="AO193" s="1">
        <v>37</v>
      </c>
      <c r="AP193" s="1" t="s">
        <v>101</v>
      </c>
      <c r="AQ193" s="1" t="s">
        <v>101</v>
      </c>
      <c r="AR193" s="1">
        <v>25.5</v>
      </c>
      <c r="AS193" s="1" t="s">
        <v>101</v>
      </c>
      <c r="AT193" s="2">
        <f t="shared" si="45"/>
        <v>31.081081081081081</v>
      </c>
      <c r="AU193" s="47">
        <v>31.081081081081081</v>
      </c>
      <c r="AV193" s="1" t="s">
        <v>101</v>
      </c>
      <c r="AW193" s="2" t="s">
        <v>700</v>
      </c>
      <c r="AX193" s="1"/>
      <c r="AY193" s="1"/>
    </row>
    <row r="194" spans="1:51" s="2" customFormat="1" ht="27.75" customHeight="1" x14ac:dyDescent="0.35">
      <c r="A194" s="1">
        <v>45</v>
      </c>
      <c r="B194" s="2" t="s">
        <v>701</v>
      </c>
      <c r="C194" s="2" t="s">
        <v>702</v>
      </c>
      <c r="D194" s="2" t="s">
        <v>616</v>
      </c>
      <c r="E194" s="28" t="s">
        <v>877</v>
      </c>
      <c r="F194" s="2" t="s">
        <v>101</v>
      </c>
      <c r="G194" s="2" t="s">
        <v>703</v>
      </c>
      <c r="J194" s="2" t="s">
        <v>882</v>
      </c>
      <c r="K194" s="5" t="s">
        <v>704</v>
      </c>
      <c r="L194" s="5" t="s">
        <v>705</v>
      </c>
      <c r="M194" s="2" t="s">
        <v>712</v>
      </c>
      <c r="N194" s="47" t="s">
        <v>884</v>
      </c>
      <c r="O194" s="2" t="s">
        <v>692</v>
      </c>
      <c r="P194" s="47" t="s">
        <v>534</v>
      </c>
      <c r="Q194" s="26" t="s">
        <v>93</v>
      </c>
      <c r="R194" s="26" t="s">
        <v>101</v>
      </c>
      <c r="S194" s="1" t="s">
        <v>101</v>
      </c>
      <c r="T194" s="1" t="s">
        <v>101</v>
      </c>
      <c r="U194" s="1" t="s">
        <v>101</v>
      </c>
      <c r="V194" s="1" t="s">
        <v>101</v>
      </c>
      <c r="W194" s="2">
        <v>74800</v>
      </c>
      <c r="X194" s="47">
        <v>206</v>
      </c>
      <c r="Y194" s="15">
        <v>41583</v>
      </c>
      <c r="Z194" s="15"/>
      <c r="AA194" s="2" t="s">
        <v>698</v>
      </c>
      <c r="AB194" s="2" t="s">
        <v>711</v>
      </c>
      <c r="AC194" s="2" t="s">
        <v>846</v>
      </c>
      <c r="AD194" s="2" t="s">
        <v>706</v>
      </c>
      <c r="AE194" s="47" t="s">
        <v>1034</v>
      </c>
      <c r="AF194" s="2" t="s">
        <v>710</v>
      </c>
      <c r="AG194" s="47" t="s">
        <v>966</v>
      </c>
      <c r="AH194" s="2" t="s">
        <v>101</v>
      </c>
      <c r="AI194" s="47" t="s">
        <v>914</v>
      </c>
      <c r="AK194" s="2" t="s">
        <v>101</v>
      </c>
      <c r="AL194" s="2" t="s">
        <v>101</v>
      </c>
      <c r="AM194" s="2" t="s">
        <v>101</v>
      </c>
      <c r="AN194" s="2" t="s">
        <v>101</v>
      </c>
      <c r="AO194" s="1">
        <v>16</v>
      </c>
      <c r="AP194" s="2" t="s">
        <v>101</v>
      </c>
      <c r="AQ194" s="2" t="s">
        <v>101</v>
      </c>
      <c r="AR194" s="1">
        <v>0.1</v>
      </c>
      <c r="AS194" s="2" t="s">
        <v>101</v>
      </c>
      <c r="AT194" s="2">
        <f>((AO194-AR194)/AO194)*100</f>
        <v>99.375</v>
      </c>
      <c r="AU194" s="47">
        <v>99.375</v>
      </c>
      <c r="AV194" s="2" t="s">
        <v>101</v>
      </c>
      <c r="AW194" s="2" t="s">
        <v>714</v>
      </c>
      <c r="AX194" s="1" t="s">
        <v>713</v>
      </c>
      <c r="AY194" s="1"/>
    </row>
    <row r="195" spans="1:51" s="2" customFormat="1" ht="27.75" customHeight="1" x14ac:dyDescent="0.35">
      <c r="A195" s="1">
        <v>45</v>
      </c>
      <c r="B195" s="2" t="s">
        <v>701</v>
      </c>
      <c r="C195" s="2" t="s">
        <v>702</v>
      </c>
      <c r="D195" s="2" t="s">
        <v>616</v>
      </c>
      <c r="E195" s="28" t="s">
        <v>877</v>
      </c>
      <c r="F195" s="2" t="s">
        <v>101</v>
      </c>
      <c r="G195" s="2" t="s">
        <v>703</v>
      </c>
      <c r="J195" s="2" t="s">
        <v>882</v>
      </c>
      <c r="K195" s="5" t="s">
        <v>704</v>
      </c>
      <c r="L195" s="5" t="s">
        <v>705</v>
      </c>
      <c r="M195" s="2" t="s">
        <v>712</v>
      </c>
      <c r="N195" s="47" t="s">
        <v>884</v>
      </c>
      <c r="O195" s="2" t="s">
        <v>692</v>
      </c>
      <c r="P195" s="47" t="s">
        <v>534</v>
      </c>
      <c r="Q195" s="26" t="s">
        <v>93</v>
      </c>
      <c r="R195" s="26" t="s">
        <v>101</v>
      </c>
      <c r="S195" s="1" t="s">
        <v>101</v>
      </c>
      <c r="T195" s="1" t="s">
        <v>101</v>
      </c>
      <c r="U195" s="1" t="s">
        <v>101</v>
      </c>
      <c r="V195" s="1" t="s">
        <v>101</v>
      </c>
      <c r="W195" s="2">
        <v>74800</v>
      </c>
      <c r="X195" s="47">
        <v>206</v>
      </c>
      <c r="Y195" s="15">
        <v>41583</v>
      </c>
      <c r="Z195" s="15"/>
      <c r="AA195" s="2" t="s">
        <v>698</v>
      </c>
      <c r="AB195" s="2" t="s">
        <v>711</v>
      </c>
      <c r="AC195" s="2" t="s">
        <v>846</v>
      </c>
      <c r="AD195" s="2" t="s">
        <v>707</v>
      </c>
      <c r="AE195" s="47" t="s">
        <v>1034</v>
      </c>
      <c r="AF195" s="2" t="s">
        <v>710</v>
      </c>
      <c r="AG195" s="47" t="s">
        <v>966</v>
      </c>
      <c r="AH195" s="2" t="s">
        <v>101</v>
      </c>
      <c r="AI195" s="47" t="s">
        <v>914</v>
      </c>
      <c r="AK195" s="2" t="s">
        <v>101</v>
      </c>
      <c r="AL195" s="2" t="s">
        <v>101</v>
      </c>
      <c r="AM195" s="2" t="s">
        <v>101</v>
      </c>
      <c r="AN195" s="2" t="s">
        <v>101</v>
      </c>
      <c r="AO195" s="1">
        <v>16</v>
      </c>
      <c r="AP195" s="2" t="s">
        <v>101</v>
      </c>
      <c r="AQ195" s="2" t="s">
        <v>101</v>
      </c>
      <c r="AR195" s="1">
        <v>0.6</v>
      </c>
      <c r="AS195" s="2" t="s">
        <v>101</v>
      </c>
      <c r="AT195" s="2">
        <f t="shared" ref="AT195:AT201" si="46">((AO195-AR195)/AO195)*100</f>
        <v>96.25</v>
      </c>
      <c r="AU195" s="47">
        <v>96.25</v>
      </c>
      <c r="AV195" s="2" t="s">
        <v>101</v>
      </c>
      <c r="AW195" s="2" t="s">
        <v>714</v>
      </c>
      <c r="AX195" s="1"/>
      <c r="AY195" s="1"/>
    </row>
    <row r="196" spans="1:51" s="2" customFormat="1" ht="27.75" customHeight="1" x14ac:dyDescent="0.35">
      <c r="A196" s="1">
        <v>45</v>
      </c>
      <c r="B196" s="2" t="s">
        <v>701</v>
      </c>
      <c r="C196" s="2" t="s">
        <v>702</v>
      </c>
      <c r="D196" s="2" t="s">
        <v>616</v>
      </c>
      <c r="E196" s="28" t="s">
        <v>877</v>
      </c>
      <c r="F196" s="2" t="s">
        <v>101</v>
      </c>
      <c r="G196" s="2" t="s">
        <v>703</v>
      </c>
      <c r="J196" s="2" t="s">
        <v>882</v>
      </c>
      <c r="K196" s="5" t="s">
        <v>704</v>
      </c>
      <c r="L196" s="5" t="s">
        <v>705</v>
      </c>
      <c r="M196" s="2" t="s">
        <v>712</v>
      </c>
      <c r="N196" s="47" t="s">
        <v>884</v>
      </c>
      <c r="O196" s="2" t="s">
        <v>692</v>
      </c>
      <c r="P196" s="47" t="s">
        <v>534</v>
      </c>
      <c r="Q196" s="26" t="s">
        <v>93</v>
      </c>
      <c r="R196" s="26" t="s">
        <v>101</v>
      </c>
      <c r="S196" s="1" t="s">
        <v>101</v>
      </c>
      <c r="T196" s="1" t="s">
        <v>101</v>
      </c>
      <c r="U196" s="1" t="s">
        <v>101</v>
      </c>
      <c r="V196" s="1" t="s">
        <v>101</v>
      </c>
      <c r="W196" s="2">
        <v>74800</v>
      </c>
      <c r="X196" s="47">
        <v>206</v>
      </c>
      <c r="Y196" s="15">
        <v>41583</v>
      </c>
      <c r="Z196" s="15"/>
      <c r="AA196" s="2" t="s">
        <v>698</v>
      </c>
      <c r="AB196" s="2" t="s">
        <v>711</v>
      </c>
      <c r="AC196" s="2" t="s">
        <v>846</v>
      </c>
      <c r="AD196" s="2" t="s">
        <v>708</v>
      </c>
      <c r="AE196" s="47" t="s">
        <v>917</v>
      </c>
      <c r="AF196" s="2" t="s">
        <v>710</v>
      </c>
      <c r="AG196" s="47" t="s">
        <v>966</v>
      </c>
      <c r="AH196" s="2" t="s">
        <v>101</v>
      </c>
      <c r="AI196" s="47" t="s">
        <v>914</v>
      </c>
      <c r="AK196" s="2" t="s">
        <v>101</v>
      </c>
      <c r="AL196" s="2" t="s">
        <v>101</v>
      </c>
      <c r="AM196" s="2" t="s">
        <v>101</v>
      </c>
      <c r="AN196" s="2" t="s">
        <v>101</v>
      </c>
      <c r="AO196" s="1">
        <v>16</v>
      </c>
      <c r="AP196" s="2" t="s">
        <v>101</v>
      </c>
      <c r="AQ196" s="2" t="s">
        <v>101</v>
      </c>
      <c r="AR196" s="1">
        <v>11.3</v>
      </c>
      <c r="AS196" s="2" t="s">
        <v>101</v>
      </c>
      <c r="AT196" s="2">
        <f t="shared" si="46"/>
        <v>29.374999999999996</v>
      </c>
      <c r="AU196" s="47">
        <v>29.374999999999996</v>
      </c>
      <c r="AV196" s="2" t="s">
        <v>101</v>
      </c>
      <c r="AW196" s="2" t="s">
        <v>714</v>
      </c>
      <c r="AX196" s="1"/>
      <c r="AY196" s="1"/>
    </row>
    <row r="197" spans="1:51" s="2" customFormat="1" ht="27.75" customHeight="1" x14ac:dyDescent="0.35">
      <c r="A197" s="1">
        <v>45</v>
      </c>
      <c r="B197" s="2" t="s">
        <v>701</v>
      </c>
      <c r="C197" s="2" t="s">
        <v>702</v>
      </c>
      <c r="D197" s="2" t="s">
        <v>616</v>
      </c>
      <c r="E197" s="28" t="s">
        <v>877</v>
      </c>
      <c r="F197" s="2" t="s">
        <v>101</v>
      </c>
      <c r="G197" s="2" t="s">
        <v>703</v>
      </c>
      <c r="J197" s="2" t="s">
        <v>882</v>
      </c>
      <c r="K197" s="5" t="s">
        <v>704</v>
      </c>
      <c r="L197" s="5" t="s">
        <v>705</v>
      </c>
      <c r="M197" s="2" t="s">
        <v>712</v>
      </c>
      <c r="N197" s="47" t="s">
        <v>884</v>
      </c>
      <c r="O197" s="2" t="s">
        <v>692</v>
      </c>
      <c r="P197" s="47" t="s">
        <v>534</v>
      </c>
      <c r="Q197" s="26" t="s">
        <v>93</v>
      </c>
      <c r="R197" s="26" t="s">
        <v>101</v>
      </c>
      <c r="S197" s="1" t="s">
        <v>101</v>
      </c>
      <c r="T197" s="1" t="s">
        <v>101</v>
      </c>
      <c r="U197" s="1" t="s">
        <v>101</v>
      </c>
      <c r="V197" s="1" t="s">
        <v>101</v>
      </c>
      <c r="W197" s="2">
        <v>74800</v>
      </c>
      <c r="X197" s="47">
        <v>206</v>
      </c>
      <c r="Y197" s="15">
        <v>41583</v>
      </c>
      <c r="Z197" s="15"/>
      <c r="AA197" s="2" t="s">
        <v>698</v>
      </c>
      <c r="AB197" s="2" t="s">
        <v>711</v>
      </c>
      <c r="AC197" s="2" t="s">
        <v>846</v>
      </c>
      <c r="AD197" s="2" t="s">
        <v>709</v>
      </c>
      <c r="AE197" s="47" t="s">
        <v>916</v>
      </c>
      <c r="AF197" s="2" t="s">
        <v>710</v>
      </c>
      <c r="AG197" s="47" t="s">
        <v>966</v>
      </c>
      <c r="AH197" s="2" t="s">
        <v>101</v>
      </c>
      <c r="AI197" s="47" t="s">
        <v>914</v>
      </c>
      <c r="AK197" s="2" t="s">
        <v>101</v>
      </c>
      <c r="AL197" s="2" t="s">
        <v>101</v>
      </c>
      <c r="AM197" s="2" t="s">
        <v>101</v>
      </c>
      <c r="AN197" s="2" t="s">
        <v>101</v>
      </c>
      <c r="AO197" s="1">
        <v>16</v>
      </c>
      <c r="AP197" s="2" t="s">
        <v>101</v>
      </c>
      <c r="AQ197" s="2" t="s">
        <v>101</v>
      </c>
      <c r="AR197" s="1">
        <v>8</v>
      </c>
      <c r="AS197" s="2" t="s">
        <v>101</v>
      </c>
      <c r="AT197" s="2">
        <f t="shared" si="46"/>
        <v>50</v>
      </c>
      <c r="AU197" s="47">
        <v>50</v>
      </c>
      <c r="AV197" s="2" t="s">
        <v>101</v>
      </c>
      <c r="AW197" s="2" t="s">
        <v>714</v>
      </c>
      <c r="AX197" s="1"/>
      <c r="AY197" s="1"/>
    </row>
    <row r="198" spans="1:51" s="2" customFormat="1" ht="27.75" customHeight="1" x14ac:dyDescent="0.35">
      <c r="A198" s="1">
        <v>45</v>
      </c>
      <c r="B198" s="2" t="s">
        <v>701</v>
      </c>
      <c r="C198" s="2" t="s">
        <v>702</v>
      </c>
      <c r="D198" s="2" t="s">
        <v>616</v>
      </c>
      <c r="E198" s="28" t="s">
        <v>877</v>
      </c>
      <c r="F198" s="2" t="s">
        <v>101</v>
      </c>
      <c r="G198" s="2" t="s">
        <v>703</v>
      </c>
      <c r="J198" s="2" t="s">
        <v>882</v>
      </c>
      <c r="K198" s="5" t="s">
        <v>704</v>
      </c>
      <c r="L198" s="5" t="s">
        <v>705</v>
      </c>
      <c r="M198" s="2" t="s">
        <v>712</v>
      </c>
      <c r="N198" s="47" t="s">
        <v>884</v>
      </c>
      <c r="O198" s="2" t="s">
        <v>692</v>
      </c>
      <c r="P198" s="47" t="s">
        <v>534</v>
      </c>
      <c r="Q198" s="26" t="s">
        <v>93</v>
      </c>
      <c r="R198" s="26" t="s">
        <v>101</v>
      </c>
      <c r="S198" s="1" t="s">
        <v>101</v>
      </c>
      <c r="T198" s="1" t="s">
        <v>101</v>
      </c>
      <c r="U198" s="1" t="s">
        <v>101</v>
      </c>
      <c r="V198" s="1" t="s">
        <v>101</v>
      </c>
      <c r="W198" s="2">
        <v>74800</v>
      </c>
      <c r="X198" s="47">
        <v>206</v>
      </c>
      <c r="Y198" s="15">
        <v>41933</v>
      </c>
      <c r="Z198" s="15"/>
      <c r="AA198" s="2" t="s">
        <v>698</v>
      </c>
      <c r="AB198" s="2" t="s">
        <v>711</v>
      </c>
      <c r="AC198" s="2" t="s">
        <v>846</v>
      </c>
      <c r="AD198" s="2" t="s">
        <v>706</v>
      </c>
      <c r="AE198" s="47" t="s">
        <v>1034</v>
      </c>
      <c r="AF198" s="2" t="s">
        <v>710</v>
      </c>
      <c r="AG198" s="47" t="s">
        <v>966</v>
      </c>
      <c r="AH198" s="2" t="s">
        <v>101</v>
      </c>
      <c r="AI198" s="47" t="s">
        <v>914</v>
      </c>
      <c r="AK198" s="2" t="s">
        <v>101</v>
      </c>
      <c r="AL198" s="2" t="s">
        <v>101</v>
      </c>
      <c r="AM198" s="2" t="s">
        <v>101</v>
      </c>
      <c r="AN198" s="2" t="s">
        <v>101</v>
      </c>
      <c r="AO198" s="1">
        <v>50</v>
      </c>
      <c r="AP198" s="2" t="s">
        <v>101</v>
      </c>
      <c r="AQ198" s="2" t="s">
        <v>101</v>
      </c>
      <c r="AR198" s="1">
        <v>0.2</v>
      </c>
      <c r="AS198" s="2" t="s">
        <v>101</v>
      </c>
      <c r="AT198" s="2">
        <f t="shared" si="46"/>
        <v>99.6</v>
      </c>
      <c r="AU198" s="47">
        <v>99.6</v>
      </c>
      <c r="AV198" s="2" t="s">
        <v>101</v>
      </c>
      <c r="AW198" s="2" t="s">
        <v>714</v>
      </c>
      <c r="AX198" s="1"/>
      <c r="AY198" s="1"/>
    </row>
    <row r="199" spans="1:51" s="2" customFormat="1" ht="27.75" customHeight="1" x14ac:dyDescent="0.35">
      <c r="A199" s="1">
        <v>45</v>
      </c>
      <c r="B199" s="2" t="s">
        <v>701</v>
      </c>
      <c r="C199" s="2" t="s">
        <v>702</v>
      </c>
      <c r="D199" s="2" t="s">
        <v>616</v>
      </c>
      <c r="E199" s="28" t="s">
        <v>877</v>
      </c>
      <c r="F199" s="2" t="s">
        <v>101</v>
      </c>
      <c r="G199" s="2" t="s">
        <v>703</v>
      </c>
      <c r="J199" s="2" t="s">
        <v>882</v>
      </c>
      <c r="K199" s="5" t="s">
        <v>704</v>
      </c>
      <c r="L199" s="5" t="s">
        <v>705</v>
      </c>
      <c r="M199" s="2" t="s">
        <v>712</v>
      </c>
      <c r="N199" s="47" t="s">
        <v>884</v>
      </c>
      <c r="O199" s="2" t="s">
        <v>692</v>
      </c>
      <c r="P199" s="47" t="s">
        <v>534</v>
      </c>
      <c r="Q199" s="26" t="s">
        <v>93</v>
      </c>
      <c r="R199" s="26" t="s">
        <v>101</v>
      </c>
      <c r="S199" s="1" t="s">
        <v>101</v>
      </c>
      <c r="T199" s="1" t="s">
        <v>101</v>
      </c>
      <c r="U199" s="1" t="s">
        <v>101</v>
      </c>
      <c r="V199" s="1" t="s">
        <v>101</v>
      </c>
      <c r="W199" s="2">
        <v>74800</v>
      </c>
      <c r="X199" s="47">
        <v>206</v>
      </c>
      <c r="Y199" s="15">
        <v>41933</v>
      </c>
      <c r="Z199" s="15"/>
      <c r="AA199" s="2" t="s">
        <v>698</v>
      </c>
      <c r="AB199" s="2" t="s">
        <v>711</v>
      </c>
      <c r="AC199" s="2" t="s">
        <v>846</v>
      </c>
      <c r="AD199" s="2" t="s">
        <v>707</v>
      </c>
      <c r="AE199" s="47" t="s">
        <v>1034</v>
      </c>
      <c r="AF199" s="2" t="s">
        <v>710</v>
      </c>
      <c r="AG199" s="47" t="s">
        <v>966</v>
      </c>
      <c r="AH199" s="2" t="s">
        <v>101</v>
      </c>
      <c r="AI199" s="47" t="s">
        <v>914</v>
      </c>
      <c r="AK199" s="2" t="s">
        <v>101</v>
      </c>
      <c r="AL199" s="2" t="s">
        <v>101</v>
      </c>
      <c r="AM199" s="2" t="s">
        <v>101</v>
      </c>
      <c r="AN199" s="2" t="s">
        <v>101</v>
      </c>
      <c r="AO199" s="1">
        <v>50</v>
      </c>
      <c r="AP199" s="2" t="s">
        <v>101</v>
      </c>
      <c r="AQ199" s="2" t="s">
        <v>101</v>
      </c>
      <c r="AR199" s="1">
        <v>7.2</v>
      </c>
      <c r="AS199" s="2" t="s">
        <v>101</v>
      </c>
      <c r="AT199" s="2">
        <f t="shared" si="46"/>
        <v>85.6</v>
      </c>
      <c r="AU199" s="47">
        <v>85.6</v>
      </c>
      <c r="AV199" s="2" t="s">
        <v>101</v>
      </c>
      <c r="AW199" s="2" t="s">
        <v>714</v>
      </c>
      <c r="AX199" s="1"/>
      <c r="AY199" s="1"/>
    </row>
    <row r="200" spans="1:51" s="2" customFormat="1" ht="27.75" customHeight="1" x14ac:dyDescent="0.35">
      <c r="A200" s="1">
        <v>45</v>
      </c>
      <c r="B200" s="2" t="s">
        <v>701</v>
      </c>
      <c r="C200" s="2" t="s">
        <v>702</v>
      </c>
      <c r="D200" s="2" t="s">
        <v>616</v>
      </c>
      <c r="E200" s="28" t="s">
        <v>877</v>
      </c>
      <c r="F200" s="2" t="s">
        <v>101</v>
      </c>
      <c r="G200" s="2" t="s">
        <v>703</v>
      </c>
      <c r="J200" s="2" t="s">
        <v>882</v>
      </c>
      <c r="K200" s="5" t="s">
        <v>704</v>
      </c>
      <c r="L200" s="5" t="s">
        <v>705</v>
      </c>
      <c r="M200" s="2" t="s">
        <v>712</v>
      </c>
      <c r="N200" s="47" t="s">
        <v>884</v>
      </c>
      <c r="O200" s="2" t="s">
        <v>692</v>
      </c>
      <c r="P200" s="47" t="s">
        <v>534</v>
      </c>
      <c r="Q200" s="26" t="s">
        <v>93</v>
      </c>
      <c r="R200" s="26" t="s">
        <v>101</v>
      </c>
      <c r="S200" s="1" t="s">
        <v>101</v>
      </c>
      <c r="T200" s="1" t="s">
        <v>101</v>
      </c>
      <c r="U200" s="1" t="s">
        <v>101</v>
      </c>
      <c r="V200" s="1" t="s">
        <v>101</v>
      </c>
      <c r="W200" s="2">
        <v>74800</v>
      </c>
      <c r="X200" s="47">
        <v>206</v>
      </c>
      <c r="Y200" s="15">
        <v>41933</v>
      </c>
      <c r="Z200" s="15"/>
      <c r="AA200" s="2" t="s">
        <v>698</v>
      </c>
      <c r="AB200" s="2" t="s">
        <v>711</v>
      </c>
      <c r="AC200" s="2" t="s">
        <v>846</v>
      </c>
      <c r="AD200" s="2" t="s">
        <v>708</v>
      </c>
      <c r="AE200" s="47" t="s">
        <v>917</v>
      </c>
      <c r="AF200" s="2" t="s">
        <v>710</v>
      </c>
      <c r="AG200" s="47" t="s">
        <v>966</v>
      </c>
      <c r="AH200" s="2" t="s">
        <v>101</v>
      </c>
      <c r="AI200" s="47" t="s">
        <v>914</v>
      </c>
      <c r="AK200" s="2" t="s">
        <v>101</v>
      </c>
      <c r="AL200" s="2" t="s">
        <v>101</v>
      </c>
      <c r="AM200" s="2" t="s">
        <v>101</v>
      </c>
      <c r="AN200" s="2" t="s">
        <v>101</v>
      </c>
      <c r="AO200" s="1">
        <v>50</v>
      </c>
      <c r="AP200" s="2" t="s">
        <v>101</v>
      </c>
      <c r="AQ200" s="2" t="s">
        <v>101</v>
      </c>
      <c r="AR200" s="1">
        <v>46.5</v>
      </c>
      <c r="AS200" s="2" t="s">
        <v>101</v>
      </c>
      <c r="AT200" s="2">
        <f t="shared" si="46"/>
        <v>7.0000000000000009</v>
      </c>
      <c r="AU200" s="47">
        <v>7.0000000000000009</v>
      </c>
      <c r="AV200" s="2" t="s">
        <v>101</v>
      </c>
      <c r="AW200" s="2" t="s">
        <v>714</v>
      </c>
      <c r="AX200" s="1"/>
      <c r="AY200" s="1"/>
    </row>
    <row r="201" spans="1:51" s="2" customFormat="1" ht="27.75" customHeight="1" x14ac:dyDescent="0.35">
      <c r="A201" s="1">
        <v>45</v>
      </c>
      <c r="B201" s="2" t="s">
        <v>701</v>
      </c>
      <c r="C201" s="2" t="s">
        <v>702</v>
      </c>
      <c r="D201" s="2" t="s">
        <v>616</v>
      </c>
      <c r="E201" s="28" t="s">
        <v>877</v>
      </c>
      <c r="F201" s="2" t="s">
        <v>101</v>
      </c>
      <c r="G201" s="2" t="s">
        <v>703</v>
      </c>
      <c r="J201" s="2" t="s">
        <v>882</v>
      </c>
      <c r="K201" s="5" t="s">
        <v>704</v>
      </c>
      <c r="L201" s="5" t="s">
        <v>705</v>
      </c>
      <c r="M201" s="2" t="s">
        <v>712</v>
      </c>
      <c r="N201" s="47" t="s">
        <v>884</v>
      </c>
      <c r="O201" s="2" t="s">
        <v>692</v>
      </c>
      <c r="P201" s="47" t="s">
        <v>534</v>
      </c>
      <c r="Q201" s="26" t="s">
        <v>93</v>
      </c>
      <c r="R201" s="26" t="s">
        <v>101</v>
      </c>
      <c r="S201" s="1" t="s">
        <v>101</v>
      </c>
      <c r="T201" s="1" t="s">
        <v>101</v>
      </c>
      <c r="U201" s="1" t="s">
        <v>101</v>
      </c>
      <c r="V201" s="1" t="s">
        <v>101</v>
      </c>
      <c r="W201" s="2">
        <v>74800</v>
      </c>
      <c r="X201" s="47">
        <v>206</v>
      </c>
      <c r="Y201" s="15">
        <v>41933</v>
      </c>
      <c r="Z201" s="15"/>
      <c r="AA201" s="2" t="s">
        <v>698</v>
      </c>
      <c r="AB201" s="2" t="s">
        <v>711</v>
      </c>
      <c r="AC201" s="2" t="s">
        <v>846</v>
      </c>
      <c r="AD201" s="2" t="s">
        <v>709</v>
      </c>
      <c r="AE201" s="47" t="s">
        <v>916</v>
      </c>
      <c r="AF201" s="2" t="s">
        <v>710</v>
      </c>
      <c r="AG201" s="47" t="s">
        <v>966</v>
      </c>
      <c r="AH201" s="2" t="s">
        <v>101</v>
      </c>
      <c r="AI201" s="47" t="s">
        <v>914</v>
      </c>
      <c r="AK201" s="2" t="s">
        <v>101</v>
      </c>
      <c r="AL201" s="2" t="s">
        <v>101</v>
      </c>
      <c r="AM201" s="2" t="s">
        <v>101</v>
      </c>
      <c r="AN201" s="2" t="s">
        <v>101</v>
      </c>
      <c r="AO201" s="1">
        <v>50</v>
      </c>
      <c r="AP201" s="2" t="s">
        <v>101</v>
      </c>
      <c r="AQ201" s="2" t="s">
        <v>101</v>
      </c>
      <c r="AR201" s="1">
        <v>19.5</v>
      </c>
      <c r="AS201" s="2" t="s">
        <v>101</v>
      </c>
      <c r="AT201" s="2">
        <f t="shared" si="46"/>
        <v>61</v>
      </c>
      <c r="AU201" s="47">
        <v>61</v>
      </c>
      <c r="AV201" s="2" t="s">
        <v>101</v>
      </c>
      <c r="AW201" s="2" t="s">
        <v>714</v>
      </c>
      <c r="AX201" s="1"/>
      <c r="AY201" s="1"/>
    </row>
    <row r="202" spans="1:51" s="11" customFormat="1" ht="27.75" customHeight="1" thickBot="1" x14ac:dyDescent="0.4">
      <c r="A202" s="1">
        <v>46</v>
      </c>
      <c r="B202" s="2" t="s">
        <v>715</v>
      </c>
      <c r="C202" s="2" t="s">
        <v>716</v>
      </c>
      <c r="D202" s="2" t="s">
        <v>616</v>
      </c>
      <c r="E202" s="28" t="s">
        <v>877</v>
      </c>
      <c r="F202" s="2" t="s">
        <v>101</v>
      </c>
      <c r="G202" s="2" t="s">
        <v>717</v>
      </c>
      <c r="H202" s="2"/>
      <c r="I202" s="2"/>
      <c r="J202" s="2" t="s">
        <v>882</v>
      </c>
      <c r="K202" s="1">
        <v>2009</v>
      </c>
      <c r="L202" s="1">
        <v>2011</v>
      </c>
      <c r="M202" s="2" t="s">
        <v>718</v>
      </c>
      <c r="N202" s="47" t="s">
        <v>884</v>
      </c>
      <c r="O202" s="2" t="s">
        <v>692</v>
      </c>
      <c r="P202" s="47" t="s">
        <v>534</v>
      </c>
      <c r="Q202" s="26" t="s">
        <v>93</v>
      </c>
      <c r="R202" s="26">
        <v>16.600000000000001</v>
      </c>
      <c r="S202" s="1" t="s">
        <v>101</v>
      </c>
      <c r="T202" s="1" t="s">
        <v>101</v>
      </c>
      <c r="U202" s="1" t="s">
        <v>101</v>
      </c>
      <c r="V202" s="1" t="s">
        <v>101</v>
      </c>
      <c r="W202" s="2">
        <v>62000</v>
      </c>
      <c r="X202" s="47">
        <v>185</v>
      </c>
      <c r="Y202" s="15">
        <v>39948</v>
      </c>
      <c r="Z202" s="15"/>
      <c r="AA202" s="2" t="s">
        <v>730</v>
      </c>
      <c r="AB202" s="2" t="s">
        <v>719</v>
      </c>
      <c r="AC202" s="2" t="s">
        <v>846</v>
      </c>
      <c r="AD202" s="2" t="s">
        <v>723</v>
      </c>
      <c r="AE202" s="47" t="s">
        <v>1034</v>
      </c>
      <c r="AF202" s="2" t="s">
        <v>722</v>
      </c>
      <c r="AG202" s="47" t="s">
        <v>966</v>
      </c>
      <c r="AH202" s="2" t="s">
        <v>101</v>
      </c>
      <c r="AI202" s="47" t="s">
        <v>914</v>
      </c>
      <c r="AJ202" s="2"/>
      <c r="AK202" s="2" t="s">
        <v>101</v>
      </c>
      <c r="AL202" s="2" t="s">
        <v>101</v>
      </c>
      <c r="AM202" s="2" t="s">
        <v>101</v>
      </c>
      <c r="AN202" s="2" t="s">
        <v>101</v>
      </c>
      <c r="AO202" s="1">
        <v>41</v>
      </c>
      <c r="AP202" s="1" t="s">
        <v>101</v>
      </c>
      <c r="AQ202" s="1" t="s">
        <v>101</v>
      </c>
      <c r="AR202" s="1">
        <v>0.1</v>
      </c>
      <c r="AS202" s="1" t="s">
        <v>101</v>
      </c>
      <c r="AT202" s="2">
        <f>((AO202-AR202)/AO202)*100</f>
        <v>99.756097560975604</v>
      </c>
      <c r="AU202" s="47">
        <v>99.756097560975604</v>
      </c>
      <c r="AV202" s="1" t="s">
        <v>101</v>
      </c>
      <c r="AW202" s="2" t="s">
        <v>731</v>
      </c>
      <c r="AX202" s="1" t="s">
        <v>720</v>
      </c>
      <c r="AY202" s="8"/>
    </row>
    <row r="203" spans="1:51" s="2" customFormat="1" ht="27.75" customHeight="1" thickTop="1" x14ac:dyDescent="0.35">
      <c r="A203" s="1">
        <v>46</v>
      </c>
      <c r="B203" s="2" t="s">
        <v>715</v>
      </c>
      <c r="C203" s="2" t="s">
        <v>716</v>
      </c>
      <c r="D203" s="2" t="s">
        <v>616</v>
      </c>
      <c r="E203" s="28" t="s">
        <v>877</v>
      </c>
      <c r="F203" s="2" t="s">
        <v>101</v>
      </c>
      <c r="G203" s="2" t="s">
        <v>717</v>
      </c>
      <c r="J203" s="2" t="s">
        <v>882</v>
      </c>
      <c r="K203" s="1">
        <v>2009</v>
      </c>
      <c r="L203" s="1">
        <v>2011</v>
      </c>
      <c r="M203" s="2" t="s">
        <v>718</v>
      </c>
      <c r="N203" s="47" t="s">
        <v>884</v>
      </c>
      <c r="O203" s="2" t="s">
        <v>692</v>
      </c>
      <c r="P203" s="47" t="s">
        <v>534</v>
      </c>
      <c r="Q203" s="26" t="s">
        <v>93</v>
      </c>
      <c r="R203" s="26">
        <v>16.600000000000001</v>
      </c>
      <c r="S203" s="1" t="s">
        <v>101</v>
      </c>
      <c r="T203" s="1" t="s">
        <v>101</v>
      </c>
      <c r="U203" s="1" t="s">
        <v>101</v>
      </c>
      <c r="V203" s="1" t="s">
        <v>101</v>
      </c>
      <c r="W203" s="2">
        <v>62000</v>
      </c>
      <c r="X203" s="47">
        <v>185</v>
      </c>
      <c r="Y203" s="15">
        <v>39948</v>
      </c>
      <c r="Z203" s="15"/>
      <c r="AA203" s="2" t="s">
        <v>730</v>
      </c>
      <c r="AB203" s="2" t="s">
        <v>719</v>
      </c>
      <c r="AC203" s="2" t="s">
        <v>846</v>
      </c>
      <c r="AD203" s="2" t="s">
        <v>721</v>
      </c>
      <c r="AE203" s="47" t="s">
        <v>916</v>
      </c>
      <c r="AF203" s="2" t="s">
        <v>722</v>
      </c>
      <c r="AG203" s="47" t="s">
        <v>966</v>
      </c>
      <c r="AH203" s="2" t="s">
        <v>101</v>
      </c>
      <c r="AI203" s="47" t="s">
        <v>914</v>
      </c>
      <c r="AK203" s="2" t="s">
        <v>101</v>
      </c>
      <c r="AL203" s="2" t="s">
        <v>101</v>
      </c>
      <c r="AM203" s="2" t="s">
        <v>101</v>
      </c>
      <c r="AN203" s="2" t="s">
        <v>101</v>
      </c>
      <c r="AO203" s="1">
        <v>41</v>
      </c>
      <c r="AP203" s="1" t="s">
        <v>101</v>
      </c>
      <c r="AQ203" s="1" t="s">
        <v>101</v>
      </c>
      <c r="AR203" s="1">
        <v>23</v>
      </c>
      <c r="AS203" s="1" t="s">
        <v>101</v>
      </c>
      <c r="AT203" s="2">
        <f t="shared" ref="AT203:AT206" si="47">((AO203-AR203)/AO203)*100</f>
        <v>43.902439024390247</v>
      </c>
      <c r="AU203" s="47">
        <v>43.902439024390247</v>
      </c>
      <c r="AV203" s="1" t="s">
        <v>101</v>
      </c>
      <c r="AW203" s="2" t="s">
        <v>731</v>
      </c>
      <c r="AX203" s="1" t="s">
        <v>726</v>
      </c>
      <c r="AY203" s="1"/>
    </row>
    <row r="204" spans="1:51" s="2" customFormat="1" ht="27.75" customHeight="1" x14ac:dyDescent="0.35">
      <c r="A204" s="1">
        <v>46</v>
      </c>
      <c r="B204" s="2" t="s">
        <v>715</v>
      </c>
      <c r="C204" s="2" t="s">
        <v>716</v>
      </c>
      <c r="D204" s="2" t="s">
        <v>616</v>
      </c>
      <c r="E204" s="28" t="s">
        <v>877</v>
      </c>
      <c r="F204" s="2" t="s">
        <v>101</v>
      </c>
      <c r="G204" s="2" t="s">
        <v>717</v>
      </c>
      <c r="J204" s="2" t="s">
        <v>882</v>
      </c>
      <c r="K204" s="1">
        <v>2009</v>
      </c>
      <c r="L204" s="1">
        <v>2011</v>
      </c>
      <c r="M204" s="2" t="s">
        <v>718</v>
      </c>
      <c r="N204" s="47" t="s">
        <v>884</v>
      </c>
      <c r="O204" s="2" t="s">
        <v>692</v>
      </c>
      <c r="P204" s="47" t="s">
        <v>534</v>
      </c>
      <c r="Q204" s="26" t="s">
        <v>93</v>
      </c>
      <c r="R204" s="26">
        <v>16.600000000000001</v>
      </c>
      <c r="S204" s="1" t="s">
        <v>101</v>
      </c>
      <c r="T204" s="1" t="s">
        <v>101</v>
      </c>
      <c r="U204" s="1" t="s">
        <v>101</v>
      </c>
      <c r="V204" s="1" t="s">
        <v>101</v>
      </c>
      <c r="W204" s="2">
        <v>62000</v>
      </c>
      <c r="X204" s="47"/>
      <c r="Y204" s="15" t="s">
        <v>727</v>
      </c>
      <c r="Z204" s="15"/>
      <c r="AA204" s="2" t="s">
        <v>730</v>
      </c>
      <c r="AB204" s="2" t="s">
        <v>719</v>
      </c>
      <c r="AC204" s="2" t="s">
        <v>846</v>
      </c>
      <c r="AD204" s="2" t="s">
        <v>723</v>
      </c>
      <c r="AE204" s="47" t="s">
        <v>1034</v>
      </c>
      <c r="AF204" s="2" t="s">
        <v>722</v>
      </c>
      <c r="AG204" s="47" t="s">
        <v>966</v>
      </c>
      <c r="AH204" s="2" t="s">
        <v>101</v>
      </c>
      <c r="AI204" s="47" t="s">
        <v>914</v>
      </c>
      <c r="AK204" s="2" t="s">
        <v>101</v>
      </c>
      <c r="AL204" s="2" t="s">
        <v>101</v>
      </c>
      <c r="AM204" s="2" t="s">
        <v>101</v>
      </c>
      <c r="AN204" s="2" t="s">
        <v>101</v>
      </c>
      <c r="AO204" s="1">
        <v>31.8</v>
      </c>
      <c r="AP204" s="1" t="s">
        <v>101</v>
      </c>
      <c r="AQ204" s="1" t="s">
        <v>101</v>
      </c>
      <c r="AR204" s="1">
        <v>0.6</v>
      </c>
      <c r="AS204" s="1" t="s">
        <v>101</v>
      </c>
      <c r="AT204" s="2">
        <f t="shared" si="47"/>
        <v>98.113207547169807</v>
      </c>
      <c r="AU204" s="47">
        <v>98.113207547169807</v>
      </c>
      <c r="AV204" s="1" t="s">
        <v>101</v>
      </c>
      <c r="AW204" s="2" t="s">
        <v>731</v>
      </c>
      <c r="AX204" s="1"/>
      <c r="AY204" s="3" t="s">
        <v>950</v>
      </c>
    </row>
    <row r="205" spans="1:51" s="2" customFormat="1" ht="27.75" customHeight="1" x14ac:dyDescent="0.35">
      <c r="A205" s="1">
        <v>46</v>
      </c>
      <c r="B205" s="2" t="s">
        <v>715</v>
      </c>
      <c r="C205" s="2" t="s">
        <v>716</v>
      </c>
      <c r="D205" s="2" t="s">
        <v>616</v>
      </c>
      <c r="E205" s="28" t="s">
        <v>877</v>
      </c>
      <c r="F205" s="2" t="s">
        <v>101</v>
      </c>
      <c r="G205" s="2" t="s">
        <v>717</v>
      </c>
      <c r="J205" s="2" t="s">
        <v>882</v>
      </c>
      <c r="K205" s="1">
        <v>2009</v>
      </c>
      <c r="L205" s="1">
        <v>2011</v>
      </c>
      <c r="M205" s="2" t="s">
        <v>718</v>
      </c>
      <c r="N205" s="47" t="s">
        <v>884</v>
      </c>
      <c r="O205" s="2" t="s">
        <v>692</v>
      </c>
      <c r="P205" s="47" t="s">
        <v>534</v>
      </c>
      <c r="Q205" s="26" t="s">
        <v>93</v>
      </c>
      <c r="R205" s="26">
        <v>16.600000000000001</v>
      </c>
      <c r="S205" s="1" t="s">
        <v>101</v>
      </c>
      <c r="T205" s="1" t="s">
        <v>101</v>
      </c>
      <c r="U205" s="1" t="s">
        <v>101</v>
      </c>
      <c r="V205" s="1" t="s">
        <v>101</v>
      </c>
      <c r="W205" s="2">
        <v>62000</v>
      </c>
      <c r="X205" s="47"/>
      <c r="Y205" s="15" t="s">
        <v>728</v>
      </c>
      <c r="Z205" s="15"/>
      <c r="AA205" s="2" t="s">
        <v>730</v>
      </c>
      <c r="AB205" s="2" t="s">
        <v>719</v>
      </c>
      <c r="AC205" s="2" t="s">
        <v>846</v>
      </c>
      <c r="AD205" s="2" t="s">
        <v>721</v>
      </c>
      <c r="AE205" s="47" t="s">
        <v>916</v>
      </c>
      <c r="AF205" s="2" t="s">
        <v>722</v>
      </c>
      <c r="AG205" s="47" t="s">
        <v>966</v>
      </c>
      <c r="AH205" s="2" t="s">
        <v>101</v>
      </c>
      <c r="AI205" s="47" t="s">
        <v>914</v>
      </c>
      <c r="AK205" s="2" t="s">
        <v>101</v>
      </c>
      <c r="AL205" s="2" t="s">
        <v>101</v>
      </c>
      <c r="AM205" s="2" t="s">
        <v>101</v>
      </c>
      <c r="AN205" s="2" t="s">
        <v>101</v>
      </c>
      <c r="AO205" s="1">
        <v>31.8</v>
      </c>
      <c r="AP205" s="1" t="s">
        <v>101</v>
      </c>
      <c r="AQ205" s="1" t="s">
        <v>101</v>
      </c>
      <c r="AR205" s="1">
        <v>7.2</v>
      </c>
      <c r="AS205" s="1" t="s">
        <v>101</v>
      </c>
      <c r="AT205" s="2">
        <f t="shared" si="47"/>
        <v>77.358490566037744</v>
      </c>
      <c r="AU205" s="47">
        <v>77.358490566037744</v>
      </c>
      <c r="AV205" s="1" t="s">
        <v>101</v>
      </c>
      <c r="AW205" s="2" t="s">
        <v>731</v>
      </c>
      <c r="AX205" s="1"/>
      <c r="AY205" s="3"/>
    </row>
    <row r="206" spans="1:51" s="2" customFormat="1" ht="27.75" customHeight="1" x14ac:dyDescent="0.35">
      <c r="A206" s="1">
        <v>46</v>
      </c>
      <c r="B206" s="2" t="s">
        <v>715</v>
      </c>
      <c r="C206" s="2" t="s">
        <v>716</v>
      </c>
      <c r="D206" s="2" t="s">
        <v>616</v>
      </c>
      <c r="E206" s="28" t="s">
        <v>877</v>
      </c>
      <c r="F206" s="2" t="s">
        <v>101</v>
      </c>
      <c r="G206" s="2" t="s">
        <v>717</v>
      </c>
      <c r="J206" s="2" t="s">
        <v>882</v>
      </c>
      <c r="K206" s="1">
        <v>2009</v>
      </c>
      <c r="L206" s="1">
        <v>2011</v>
      </c>
      <c r="M206" s="2" t="s">
        <v>718</v>
      </c>
      <c r="N206" s="47" t="s">
        <v>884</v>
      </c>
      <c r="O206" s="2" t="s">
        <v>692</v>
      </c>
      <c r="P206" s="47" t="s">
        <v>534</v>
      </c>
      <c r="Q206" s="26" t="s">
        <v>93</v>
      </c>
      <c r="R206" s="26">
        <v>16.600000000000001</v>
      </c>
      <c r="S206" s="1" t="s">
        <v>101</v>
      </c>
      <c r="T206" s="1" t="s">
        <v>101</v>
      </c>
      <c r="U206" s="1" t="s">
        <v>101</v>
      </c>
      <c r="V206" s="1" t="s">
        <v>101</v>
      </c>
      <c r="W206" s="2">
        <v>62000</v>
      </c>
      <c r="X206" s="47"/>
      <c r="Y206" s="15" t="s">
        <v>729</v>
      </c>
      <c r="Z206" s="15"/>
      <c r="AA206" s="2" t="s">
        <v>730</v>
      </c>
      <c r="AB206" s="2" t="s">
        <v>719</v>
      </c>
      <c r="AC206" s="2" t="s">
        <v>846</v>
      </c>
      <c r="AD206" s="1" t="s">
        <v>724</v>
      </c>
      <c r="AE206" s="26" t="s">
        <v>1034</v>
      </c>
      <c r="AF206" s="1" t="s">
        <v>725</v>
      </c>
      <c r="AG206" s="47" t="s">
        <v>966</v>
      </c>
      <c r="AH206" s="2" t="s">
        <v>101</v>
      </c>
      <c r="AI206" s="47" t="s">
        <v>914</v>
      </c>
      <c r="AK206" s="2" t="s">
        <v>101</v>
      </c>
      <c r="AL206" s="2" t="s">
        <v>101</v>
      </c>
      <c r="AM206" s="2" t="s">
        <v>101</v>
      </c>
      <c r="AN206" s="2" t="s">
        <v>101</v>
      </c>
      <c r="AO206" s="1">
        <v>28.3</v>
      </c>
      <c r="AP206" s="1" t="s">
        <v>101</v>
      </c>
      <c r="AQ206" s="1" t="s">
        <v>101</v>
      </c>
      <c r="AR206" s="1">
        <v>0.1</v>
      </c>
      <c r="AS206" s="1" t="s">
        <v>101</v>
      </c>
      <c r="AT206" s="2">
        <f t="shared" si="47"/>
        <v>99.646643109540634</v>
      </c>
      <c r="AU206" s="47">
        <v>99.646643109540634</v>
      </c>
      <c r="AV206" s="1" t="s">
        <v>101</v>
      </c>
      <c r="AW206" s="2" t="s">
        <v>731</v>
      </c>
      <c r="AX206" s="1"/>
      <c r="AY206" s="3"/>
    </row>
    <row r="207" spans="1:51" s="2" customFormat="1" ht="27.75" customHeight="1" x14ac:dyDescent="0.35">
      <c r="A207" s="1">
        <v>47</v>
      </c>
      <c r="B207" s="2" t="s">
        <v>732</v>
      </c>
      <c r="C207" s="2" t="s">
        <v>733</v>
      </c>
      <c r="D207" s="2" t="s">
        <v>245</v>
      </c>
      <c r="E207" s="28" t="s">
        <v>869</v>
      </c>
      <c r="F207" s="2" t="s">
        <v>742</v>
      </c>
      <c r="G207" s="2" t="s">
        <v>734</v>
      </c>
      <c r="J207" s="2" t="s">
        <v>881</v>
      </c>
      <c r="K207" s="5" t="s">
        <v>101</v>
      </c>
      <c r="L207" s="5" t="s">
        <v>101</v>
      </c>
      <c r="M207" s="2" t="s">
        <v>736</v>
      </c>
      <c r="N207" s="47" t="s">
        <v>885</v>
      </c>
      <c r="O207" s="2" t="s">
        <v>209</v>
      </c>
      <c r="P207" s="47" t="s">
        <v>534</v>
      </c>
      <c r="Q207" s="26" t="s">
        <v>93</v>
      </c>
      <c r="R207" s="26">
        <v>11.3</v>
      </c>
      <c r="S207" s="1" t="s">
        <v>101</v>
      </c>
      <c r="T207" s="1" t="s">
        <v>101</v>
      </c>
      <c r="U207" s="1" t="s">
        <v>101</v>
      </c>
      <c r="V207" s="1">
        <v>7.5</v>
      </c>
      <c r="W207" s="2" t="s">
        <v>101</v>
      </c>
      <c r="X207" s="47">
        <v>0.5</v>
      </c>
      <c r="Y207" s="15" t="s">
        <v>101</v>
      </c>
      <c r="Z207" s="15"/>
      <c r="AA207" s="2" t="s">
        <v>735</v>
      </c>
      <c r="AB207" s="2" t="s">
        <v>741</v>
      </c>
      <c r="AC207" s="2" t="s">
        <v>846</v>
      </c>
      <c r="AD207" s="2" t="s">
        <v>738</v>
      </c>
      <c r="AE207" s="26" t="s">
        <v>408</v>
      </c>
      <c r="AF207" s="2" t="s">
        <v>737</v>
      </c>
      <c r="AG207" s="47" t="s">
        <v>966</v>
      </c>
      <c r="AH207" s="2" t="s">
        <v>499</v>
      </c>
      <c r="AI207" s="47" t="s">
        <v>924</v>
      </c>
      <c r="AK207" s="1">
        <v>5.5</v>
      </c>
      <c r="AL207" s="2" t="s">
        <v>101</v>
      </c>
      <c r="AM207" s="2" t="s">
        <v>101</v>
      </c>
      <c r="AN207" s="2" t="s">
        <v>101</v>
      </c>
      <c r="AO207" s="1">
        <v>170.19</v>
      </c>
      <c r="AP207" s="1" t="s">
        <v>101</v>
      </c>
      <c r="AQ207" s="1" t="s">
        <v>101</v>
      </c>
      <c r="AR207" s="1">
        <v>57.84</v>
      </c>
      <c r="AS207" s="1">
        <v>12</v>
      </c>
      <c r="AT207" s="2">
        <f>((AO207-AR207)/AO207)*100</f>
        <v>66.014454433280449</v>
      </c>
      <c r="AU207" s="47">
        <v>66.014454433280449</v>
      </c>
      <c r="AV207" s="1" t="s">
        <v>101</v>
      </c>
      <c r="AW207" s="2" t="s">
        <v>743</v>
      </c>
      <c r="AX207" s="1"/>
      <c r="AY207" s="1"/>
    </row>
    <row r="208" spans="1:51" s="2" customFormat="1" ht="27.75" customHeight="1" x14ac:dyDescent="0.35">
      <c r="A208" s="1">
        <v>47</v>
      </c>
      <c r="B208" s="2" t="s">
        <v>732</v>
      </c>
      <c r="C208" s="2" t="s">
        <v>733</v>
      </c>
      <c r="D208" s="2" t="s">
        <v>245</v>
      </c>
      <c r="E208" s="28" t="s">
        <v>869</v>
      </c>
      <c r="F208" s="2" t="s">
        <v>742</v>
      </c>
      <c r="G208" s="2" t="s">
        <v>734</v>
      </c>
      <c r="J208" s="2" t="s">
        <v>881</v>
      </c>
      <c r="K208" s="5" t="s">
        <v>101</v>
      </c>
      <c r="L208" s="5" t="s">
        <v>101</v>
      </c>
      <c r="M208" s="2" t="s">
        <v>736</v>
      </c>
      <c r="N208" s="47" t="s">
        <v>885</v>
      </c>
      <c r="O208" s="2" t="s">
        <v>209</v>
      </c>
      <c r="P208" s="47" t="s">
        <v>534</v>
      </c>
      <c r="Q208" s="26" t="s">
        <v>93</v>
      </c>
      <c r="R208" s="26">
        <v>11.3</v>
      </c>
      <c r="S208" s="1" t="s">
        <v>101</v>
      </c>
      <c r="T208" s="1" t="s">
        <v>101</v>
      </c>
      <c r="U208" s="1" t="s">
        <v>101</v>
      </c>
      <c r="V208" s="1">
        <v>7.5</v>
      </c>
      <c r="W208" s="2" t="s">
        <v>744</v>
      </c>
      <c r="X208" s="47">
        <v>0.5</v>
      </c>
      <c r="Y208" s="15" t="s">
        <v>101</v>
      </c>
      <c r="Z208" s="15"/>
      <c r="AA208" s="2" t="s">
        <v>735</v>
      </c>
      <c r="AB208" s="2" t="s">
        <v>741</v>
      </c>
      <c r="AC208" s="2" t="s">
        <v>846</v>
      </c>
      <c r="AD208" s="2" t="s">
        <v>739</v>
      </c>
      <c r="AE208" s="47" t="s">
        <v>951</v>
      </c>
      <c r="AF208" s="2" t="s">
        <v>737</v>
      </c>
      <c r="AG208" s="47" t="s">
        <v>966</v>
      </c>
      <c r="AH208" s="2" t="s">
        <v>101</v>
      </c>
      <c r="AI208" s="47" t="s">
        <v>914</v>
      </c>
      <c r="AK208" s="2" t="s">
        <v>101</v>
      </c>
      <c r="AL208" s="2" t="s">
        <v>101</v>
      </c>
      <c r="AM208" s="2" t="s">
        <v>101</v>
      </c>
      <c r="AN208" s="2" t="s">
        <v>101</v>
      </c>
      <c r="AO208" s="1">
        <v>170.19</v>
      </c>
      <c r="AP208" s="1" t="s">
        <v>101</v>
      </c>
      <c r="AQ208" s="1" t="s">
        <v>101</v>
      </c>
      <c r="AR208" s="1">
        <v>114.97</v>
      </c>
      <c r="AS208" s="1">
        <v>5.2</v>
      </c>
      <c r="AT208" s="2">
        <f t="shared" ref="AT208:AT209" si="48">((AO208-AR208)/AO208)*100</f>
        <v>32.446089664492625</v>
      </c>
      <c r="AU208" s="47">
        <v>32.446089664492625</v>
      </c>
      <c r="AV208" s="1" t="s">
        <v>101</v>
      </c>
      <c r="AW208" s="2" t="s">
        <v>743</v>
      </c>
      <c r="AX208" s="1"/>
      <c r="AY208" s="1"/>
    </row>
    <row r="209" spans="1:51" s="11" customFormat="1" ht="27.75" customHeight="1" thickBot="1" x14ac:dyDescent="0.4">
      <c r="A209" s="8">
        <v>47</v>
      </c>
      <c r="B209" s="11" t="s">
        <v>732</v>
      </c>
      <c r="C209" s="11" t="s">
        <v>733</v>
      </c>
      <c r="D209" s="11" t="s">
        <v>245</v>
      </c>
      <c r="E209" s="29" t="s">
        <v>869</v>
      </c>
      <c r="F209" s="11" t="s">
        <v>742</v>
      </c>
      <c r="G209" s="11" t="s">
        <v>734</v>
      </c>
      <c r="J209" s="2" t="s">
        <v>881</v>
      </c>
      <c r="K209" s="9" t="s">
        <v>101</v>
      </c>
      <c r="L209" s="9" t="s">
        <v>101</v>
      </c>
      <c r="M209" s="11" t="s">
        <v>736</v>
      </c>
      <c r="N209" s="47" t="s">
        <v>885</v>
      </c>
      <c r="O209" s="11" t="s">
        <v>209</v>
      </c>
      <c r="P209" s="47" t="s">
        <v>534</v>
      </c>
      <c r="Q209" s="27" t="s">
        <v>93</v>
      </c>
      <c r="R209" s="27">
        <v>11.3</v>
      </c>
      <c r="S209" s="8" t="s">
        <v>101</v>
      </c>
      <c r="T209" s="8" t="s">
        <v>101</v>
      </c>
      <c r="U209" s="8" t="s">
        <v>101</v>
      </c>
      <c r="V209" s="8">
        <v>7.5</v>
      </c>
      <c r="W209" s="11" t="s">
        <v>101</v>
      </c>
      <c r="X209" s="49">
        <v>0.5</v>
      </c>
      <c r="Y209" s="17" t="s">
        <v>101</v>
      </c>
      <c r="Z209" s="17"/>
      <c r="AA209" s="11" t="s">
        <v>735</v>
      </c>
      <c r="AB209" s="11" t="s">
        <v>741</v>
      </c>
      <c r="AC209" s="2" t="s">
        <v>846</v>
      </c>
      <c r="AD209" s="11" t="s">
        <v>740</v>
      </c>
      <c r="AE209" s="49" t="s">
        <v>952</v>
      </c>
      <c r="AF209" s="11" t="s">
        <v>737</v>
      </c>
      <c r="AG209" s="47" t="s">
        <v>966</v>
      </c>
      <c r="AH209" s="11" t="s">
        <v>101</v>
      </c>
      <c r="AI209" s="47" t="s">
        <v>914</v>
      </c>
      <c r="AK209" s="11" t="s">
        <v>101</v>
      </c>
      <c r="AL209" s="11" t="s">
        <v>101</v>
      </c>
      <c r="AM209" s="11" t="s">
        <v>101</v>
      </c>
      <c r="AN209" s="11" t="s">
        <v>101</v>
      </c>
      <c r="AO209" s="8">
        <v>170.19</v>
      </c>
      <c r="AP209" s="8" t="s">
        <v>101</v>
      </c>
      <c r="AQ209" s="8" t="s">
        <v>101</v>
      </c>
      <c r="AR209" s="8">
        <v>68.44</v>
      </c>
      <c r="AS209" s="8">
        <v>8.6999999999999993</v>
      </c>
      <c r="AT209" s="11">
        <f t="shared" si="48"/>
        <v>59.786121393736416</v>
      </c>
      <c r="AU209" s="49">
        <v>59.786121393736416</v>
      </c>
      <c r="AV209" s="8" t="s">
        <v>101</v>
      </c>
      <c r="AW209" s="11" t="s">
        <v>743</v>
      </c>
      <c r="AX209" s="8"/>
      <c r="AY209" s="8"/>
    </row>
    <row r="210" spans="1:51" s="2" customFormat="1" ht="27.75" customHeight="1" thickTop="1" x14ac:dyDescent="0.35">
      <c r="A210" s="1">
        <v>48</v>
      </c>
      <c r="B210" s="2" t="s">
        <v>745</v>
      </c>
      <c r="C210" s="2" t="s">
        <v>746</v>
      </c>
      <c r="D210" s="2" t="s">
        <v>245</v>
      </c>
      <c r="E210" s="28" t="s">
        <v>869</v>
      </c>
      <c r="F210" s="2" t="s">
        <v>747</v>
      </c>
      <c r="G210" s="2" t="s">
        <v>749</v>
      </c>
      <c r="H210" s="2">
        <v>505</v>
      </c>
      <c r="I210" s="2">
        <v>286</v>
      </c>
      <c r="J210" s="2" t="s">
        <v>881</v>
      </c>
      <c r="K210" s="5" t="s">
        <v>101</v>
      </c>
      <c r="L210" s="5" t="s">
        <v>101</v>
      </c>
      <c r="M210" s="2" t="s">
        <v>748</v>
      </c>
      <c r="N210" s="47" t="s">
        <v>885</v>
      </c>
      <c r="O210" s="2" t="s">
        <v>692</v>
      </c>
      <c r="P210" s="47" t="s">
        <v>534</v>
      </c>
      <c r="Q210" s="26" t="s">
        <v>93</v>
      </c>
      <c r="R210" s="26">
        <v>28.5</v>
      </c>
      <c r="S210" s="1" t="s">
        <v>101</v>
      </c>
      <c r="T210" s="1" t="s">
        <v>101</v>
      </c>
      <c r="U210" s="1" t="s">
        <v>101</v>
      </c>
      <c r="V210" s="1">
        <v>7.4</v>
      </c>
      <c r="W210" s="2" t="s">
        <v>101</v>
      </c>
      <c r="X210" s="47">
        <v>0.5</v>
      </c>
      <c r="Y210" s="15" t="s">
        <v>101</v>
      </c>
      <c r="Z210" s="15"/>
      <c r="AA210" s="2" t="s">
        <v>735</v>
      </c>
      <c r="AB210" s="2" t="s">
        <v>759</v>
      </c>
      <c r="AC210" s="2" t="s">
        <v>846</v>
      </c>
      <c r="AD210" s="2" t="s">
        <v>751</v>
      </c>
      <c r="AE210" s="47" t="s">
        <v>936</v>
      </c>
      <c r="AF210" s="2" t="s">
        <v>750</v>
      </c>
      <c r="AG210" s="47" t="s">
        <v>966</v>
      </c>
      <c r="AH210" s="2" t="s">
        <v>762</v>
      </c>
      <c r="AI210" s="47" t="s">
        <v>914</v>
      </c>
      <c r="AK210" s="1" t="s">
        <v>101</v>
      </c>
      <c r="AL210" s="1" t="s">
        <v>101</v>
      </c>
      <c r="AM210" s="36" t="s">
        <v>101</v>
      </c>
      <c r="AN210" s="1" t="s">
        <v>101</v>
      </c>
      <c r="AO210" s="1">
        <v>62.7</v>
      </c>
      <c r="AP210" s="36" t="s">
        <v>101</v>
      </c>
      <c r="AQ210" s="1" t="s">
        <v>101</v>
      </c>
      <c r="AR210" s="1">
        <v>117.5</v>
      </c>
      <c r="AS210" s="1" t="s">
        <v>101</v>
      </c>
      <c r="AT210" s="2">
        <f>((AO210-AR210)/AO210)*100</f>
        <v>-87.400318979266331</v>
      </c>
      <c r="AU210" s="47">
        <v>-87.400318979266331</v>
      </c>
      <c r="AV210" s="1" t="s">
        <v>101</v>
      </c>
      <c r="AW210" s="2" t="s">
        <v>765</v>
      </c>
      <c r="AX210" s="1"/>
      <c r="AY210" s="3" t="s">
        <v>968</v>
      </c>
    </row>
    <row r="211" spans="1:51" s="23" customFormat="1" ht="27.75" customHeight="1" x14ac:dyDescent="0.35">
      <c r="A211" s="22">
        <v>48</v>
      </c>
      <c r="B211" s="23" t="s">
        <v>745</v>
      </c>
      <c r="C211" s="23" t="s">
        <v>746</v>
      </c>
      <c r="D211" s="23" t="s">
        <v>245</v>
      </c>
      <c r="E211" s="28" t="s">
        <v>869</v>
      </c>
      <c r="F211" s="23" t="s">
        <v>747</v>
      </c>
      <c r="G211" s="23" t="s">
        <v>749</v>
      </c>
      <c r="H211" s="2">
        <v>505</v>
      </c>
      <c r="I211" s="2">
        <v>286</v>
      </c>
      <c r="J211" s="2" t="s">
        <v>881</v>
      </c>
      <c r="K211" s="24" t="s">
        <v>101</v>
      </c>
      <c r="L211" s="24" t="s">
        <v>101</v>
      </c>
      <c r="M211" s="23" t="s">
        <v>748</v>
      </c>
      <c r="N211" s="47" t="s">
        <v>885</v>
      </c>
      <c r="O211" s="23" t="s">
        <v>692</v>
      </c>
      <c r="P211" s="47" t="s">
        <v>534</v>
      </c>
      <c r="Q211" s="51" t="s">
        <v>93</v>
      </c>
      <c r="R211" s="51">
        <v>28.5</v>
      </c>
      <c r="S211" s="1" t="s">
        <v>101</v>
      </c>
      <c r="T211" s="1" t="s">
        <v>101</v>
      </c>
      <c r="U211" s="1" t="s">
        <v>101</v>
      </c>
      <c r="V211" s="22">
        <v>7.4</v>
      </c>
      <c r="W211" s="2" t="s">
        <v>101</v>
      </c>
      <c r="X211" s="54">
        <v>0.5</v>
      </c>
      <c r="Y211" s="15" t="s">
        <v>101</v>
      </c>
      <c r="Z211" s="15"/>
      <c r="AA211" s="23" t="s">
        <v>735</v>
      </c>
      <c r="AB211" s="23" t="s">
        <v>759</v>
      </c>
      <c r="AC211" s="2" t="s">
        <v>846</v>
      </c>
      <c r="AD211" s="23" t="s">
        <v>964</v>
      </c>
      <c r="AE211" s="47" t="s">
        <v>936</v>
      </c>
      <c r="AF211" s="23" t="s">
        <v>750</v>
      </c>
      <c r="AG211" s="47" t="s">
        <v>966</v>
      </c>
      <c r="AH211" s="23" t="s">
        <v>763</v>
      </c>
      <c r="AI211" s="47" t="s">
        <v>914</v>
      </c>
      <c r="AJ211" s="2"/>
      <c r="AK211" s="1" t="s">
        <v>101</v>
      </c>
      <c r="AL211" s="1" t="s">
        <v>101</v>
      </c>
      <c r="AM211" s="36" t="s">
        <v>101</v>
      </c>
      <c r="AN211" s="1" t="s">
        <v>101</v>
      </c>
      <c r="AO211" s="22">
        <v>62.7</v>
      </c>
      <c r="AP211" s="36" t="s">
        <v>101</v>
      </c>
      <c r="AQ211" s="1" t="s">
        <v>101</v>
      </c>
      <c r="AR211" s="22">
        <v>96.8</v>
      </c>
      <c r="AS211" s="1" t="s">
        <v>101</v>
      </c>
      <c r="AT211" s="23">
        <f>((AO211-AR211)/AO211)*100</f>
        <v>-54.385964912280691</v>
      </c>
      <c r="AU211" s="54">
        <v>-54.385964912280691</v>
      </c>
      <c r="AV211" s="22" t="s">
        <v>101</v>
      </c>
      <c r="AW211" s="2" t="s">
        <v>765</v>
      </c>
      <c r="AX211" s="22"/>
      <c r="AY211" s="22"/>
    </row>
    <row r="212" spans="1:51" s="2" customFormat="1" ht="27.75" customHeight="1" x14ac:dyDescent="0.35">
      <c r="A212" s="1">
        <v>48</v>
      </c>
      <c r="B212" s="2" t="s">
        <v>745</v>
      </c>
      <c r="C212" s="2" t="s">
        <v>746</v>
      </c>
      <c r="D212" s="2" t="s">
        <v>245</v>
      </c>
      <c r="E212" s="28" t="s">
        <v>869</v>
      </c>
      <c r="F212" s="2" t="s">
        <v>752</v>
      </c>
      <c r="G212" s="2" t="s">
        <v>753</v>
      </c>
      <c r="H212" s="2">
        <v>922</v>
      </c>
      <c r="I212" s="2">
        <v>33</v>
      </c>
      <c r="J212" s="2" t="s">
        <v>880</v>
      </c>
      <c r="K212" s="5" t="s">
        <v>101</v>
      </c>
      <c r="L212" s="5" t="s">
        <v>101</v>
      </c>
      <c r="M212" s="2" t="s">
        <v>754</v>
      </c>
      <c r="N212" s="47" t="s">
        <v>885</v>
      </c>
      <c r="O212" s="2" t="s">
        <v>487</v>
      </c>
      <c r="P212" s="47" t="s">
        <v>889</v>
      </c>
      <c r="Q212" s="26" t="s">
        <v>93</v>
      </c>
      <c r="R212" s="26">
        <v>2.09</v>
      </c>
      <c r="S212" s="1" t="s">
        <v>101</v>
      </c>
      <c r="T212" s="1" t="s">
        <v>101</v>
      </c>
      <c r="U212" s="1" t="s">
        <v>101</v>
      </c>
      <c r="V212" s="1">
        <v>8.08</v>
      </c>
      <c r="W212" s="2" t="s">
        <v>101</v>
      </c>
      <c r="X212" s="47">
        <v>0.5</v>
      </c>
      <c r="Y212" s="15" t="s">
        <v>101</v>
      </c>
      <c r="Z212" s="15"/>
      <c r="AA212" s="2" t="s">
        <v>760</v>
      </c>
      <c r="AB212" s="2" t="s">
        <v>759</v>
      </c>
      <c r="AC212" s="2" t="s">
        <v>846</v>
      </c>
      <c r="AD212" s="2" t="s">
        <v>756</v>
      </c>
      <c r="AE212" s="47" t="s">
        <v>936</v>
      </c>
      <c r="AF212" s="2" t="s">
        <v>755</v>
      </c>
      <c r="AG212" s="47" t="s">
        <v>936</v>
      </c>
      <c r="AH212" s="2" t="s">
        <v>499</v>
      </c>
      <c r="AI212" s="47" t="s">
        <v>924</v>
      </c>
      <c r="AK212" s="1">
        <v>5.5</v>
      </c>
      <c r="AL212" s="1" t="s">
        <v>101</v>
      </c>
      <c r="AM212" s="36" t="s">
        <v>101</v>
      </c>
      <c r="AN212" s="1" t="s">
        <v>101</v>
      </c>
      <c r="AO212" s="1">
        <v>1.76</v>
      </c>
      <c r="AP212" s="36" t="s">
        <v>101</v>
      </c>
      <c r="AQ212" s="1" t="s">
        <v>101</v>
      </c>
      <c r="AR212" s="1">
        <v>1.6</v>
      </c>
      <c r="AS212" s="1" t="s">
        <v>101</v>
      </c>
      <c r="AT212" s="2">
        <f t="shared" ref="AT212:AT213" si="49">((AO212-AR212)/AO212)*100</f>
        <v>9.0909090909090864</v>
      </c>
      <c r="AU212" s="47">
        <v>9.0909090909090864</v>
      </c>
      <c r="AV212" s="1" t="s">
        <v>101</v>
      </c>
      <c r="AW212" s="2" t="s">
        <v>765</v>
      </c>
      <c r="AX212" s="1"/>
      <c r="AY212" s="1"/>
    </row>
    <row r="213" spans="1:51" s="11" customFormat="1" ht="27.75" customHeight="1" thickBot="1" x14ac:dyDescent="0.4">
      <c r="A213" s="8">
        <v>48</v>
      </c>
      <c r="B213" s="11" t="s">
        <v>745</v>
      </c>
      <c r="C213" s="11" t="s">
        <v>746</v>
      </c>
      <c r="D213" s="11" t="s">
        <v>245</v>
      </c>
      <c r="E213" s="29" t="s">
        <v>869</v>
      </c>
      <c r="F213" s="11" t="s">
        <v>752</v>
      </c>
      <c r="G213" s="11" t="s">
        <v>753</v>
      </c>
      <c r="H213" s="2">
        <v>922</v>
      </c>
      <c r="I213" s="2">
        <v>33</v>
      </c>
      <c r="J213" s="2" t="s">
        <v>880</v>
      </c>
      <c r="K213" s="9" t="s">
        <v>101</v>
      </c>
      <c r="L213" s="9" t="s">
        <v>101</v>
      </c>
      <c r="M213" s="11" t="s">
        <v>754</v>
      </c>
      <c r="N213" s="47" t="s">
        <v>885</v>
      </c>
      <c r="O213" s="11" t="s">
        <v>487</v>
      </c>
      <c r="P213" s="47" t="s">
        <v>889</v>
      </c>
      <c r="Q213" s="27" t="s">
        <v>93</v>
      </c>
      <c r="R213" s="27">
        <v>2.09</v>
      </c>
      <c r="S213" s="8" t="s">
        <v>101</v>
      </c>
      <c r="T213" s="8" t="s">
        <v>101</v>
      </c>
      <c r="U213" s="8" t="s">
        <v>101</v>
      </c>
      <c r="V213" s="8">
        <v>8.08</v>
      </c>
      <c r="W213" s="11" t="s">
        <v>101</v>
      </c>
      <c r="X213" s="49">
        <v>0.5</v>
      </c>
      <c r="Y213" s="17" t="s">
        <v>101</v>
      </c>
      <c r="Z213" s="17"/>
      <c r="AA213" s="11" t="s">
        <v>760</v>
      </c>
      <c r="AB213" s="11" t="s">
        <v>759</v>
      </c>
      <c r="AC213" s="2" t="s">
        <v>846</v>
      </c>
      <c r="AD213" s="11" t="s">
        <v>758</v>
      </c>
      <c r="AE213" s="47" t="s">
        <v>936</v>
      </c>
      <c r="AF213" s="11" t="s">
        <v>757</v>
      </c>
      <c r="AG213" s="49" t="s">
        <v>936</v>
      </c>
      <c r="AH213" s="11" t="s">
        <v>761</v>
      </c>
      <c r="AI213" s="47" t="s">
        <v>924</v>
      </c>
      <c r="AK213" s="8">
        <v>5.5</v>
      </c>
      <c r="AL213" s="8" t="s">
        <v>101</v>
      </c>
      <c r="AM213" s="37" t="s">
        <v>101</v>
      </c>
      <c r="AN213" s="8" t="s">
        <v>101</v>
      </c>
      <c r="AO213" s="8">
        <v>6.44</v>
      </c>
      <c r="AP213" s="37" t="s">
        <v>101</v>
      </c>
      <c r="AQ213" s="8" t="s">
        <v>101</v>
      </c>
      <c r="AR213" s="8">
        <v>6.79</v>
      </c>
      <c r="AS213" s="8" t="s">
        <v>101</v>
      </c>
      <c r="AT213" s="11">
        <f t="shared" si="49"/>
        <v>-5.4347826086956461</v>
      </c>
      <c r="AU213" s="49">
        <v>-5.4347826086956461</v>
      </c>
      <c r="AV213" s="8" t="s">
        <v>101</v>
      </c>
      <c r="AW213" s="11" t="s">
        <v>765</v>
      </c>
      <c r="AX213" s="8" t="s">
        <v>764</v>
      </c>
      <c r="AY213" s="8"/>
    </row>
    <row r="214" spans="1:51" s="2" customFormat="1" ht="27.75" customHeight="1" thickTop="1" x14ac:dyDescent="0.35">
      <c r="A214" s="1">
        <v>49</v>
      </c>
      <c r="B214" s="2" t="s">
        <v>766</v>
      </c>
      <c r="C214" s="2" t="s">
        <v>767</v>
      </c>
      <c r="D214" s="2" t="s">
        <v>490</v>
      </c>
      <c r="E214" s="28" t="s">
        <v>875</v>
      </c>
      <c r="F214" s="2" t="s">
        <v>101</v>
      </c>
      <c r="G214" s="2" t="s">
        <v>770</v>
      </c>
      <c r="H214" s="2">
        <v>817</v>
      </c>
      <c r="I214" s="2">
        <v>131</v>
      </c>
      <c r="J214" s="2" t="s">
        <v>880</v>
      </c>
      <c r="K214" s="5">
        <v>38099</v>
      </c>
      <c r="L214" s="40">
        <v>38104</v>
      </c>
      <c r="M214" s="2" t="s">
        <v>769</v>
      </c>
      <c r="N214" s="47" t="s">
        <v>885</v>
      </c>
      <c r="O214" s="2" t="s">
        <v>768</v>
      </c>
      <c r="P214" s="47" t="s">
        <v>534</v>
      </c>
      <c r="Q214" s="26" t="s">
        <v>319</v>
      </c>
      <c r="R214" s="26">
        <v>32.799999999999997</v>
      </c>
      <c r="S214" s="1">
        <v>40</v>
      </c>
      <c r="T214" s="1">
        <v>0.99</v>
      </c>
      <c r="U214" s="1">
        <v>0.2</v>
      </c>
      <c r="V214" s="1">
        <v>8.8000000000000007</v>
      </c>
      <c r="W214" s="2">
        <v>18.2</v>
      </c>
      <c r="X214" s="55">
        <f>W214*6.8</f>
        <v>123.75999999999999</v>
      </c>
      <c r="Y214" s="15">
        <v>38099</v>
      </c>
      <c r="Z214" s="15"/>
      <c r="AA214" s="2" t="s">
        <v>399</v>
      </c>
      <c r="AB214" s="2" t="s">
        <v>771</v>
      </c>
      <c r="AC214" s="2" t="s">
        <v>771</v>
      </c>
      <c r="AD214" s="2" t="s">
        <v>773</v>
      </c>
      <c r="AE214" s="47" t="s">
        <v>916</v>
      </c>
      <c r="AF214" s="1" t="s">
        <v>866</v>
      </c>
      <c r="AG214" s="26" t="s">
        <v>966</v>
      </c>
      <c r="AH214" s="2" t="s">
        <v>101</v>
      </c>
      <c r="AI214" s="47" t="s">
        <v>914</v>
      </c>
      <c r="AK214" s="2" t="s">
        <v>101</v>
      </c>
      <c r="AL214" s="2" t="s">
        <v>101</v>
      </c>
      <c r="AM214" s="1">
        <v>48</v>
      </c>
      <c r="AN214" s="1" t="s">
        <v>101</v>
      </c>
      <c r="AO214" s="1">
        <v>5.6639999999999997</v>
      </c>
      <c r="AP214" s="1">
        <v>13</v>
      </c>
      <c r="AQ214" s="1" t="s">
        <v>101</v>
      </c>
      <c r="AR214" s="1">
        <f>18.1*0.13</f>
        <v>2.3530000000000002</v>
      </c>
      <c r="AS214" s="1" t="s">
        <v>101</v>
      </c>
      <c r="AT214" s="2">
        <f t="shared" ref="AT214:AT215" si="50">((AM214-AP214)/AM214)*100</f>
        <v>72.916666666666657</v>
      </c>
      <c r="AU214" s="47">
        <v>72.916666666666657</v>
      </c>
      <c r="AV214" s="1" t="s">
        <v>101</v>
      </c>
      <c r="AW214" s="2" t="s">
        <v>775</v>
      </c>
      <c r="AX214" s="1"/>
      <c r="AY214" s="1"/>
    </row>
    <row r="215" spans="1:51" s="2" customFormat="1" ht="27.75" customHeight="1" x14ac:dyDescent="0.35">
      <c r="A215" s="1">
        <v>49</v>
      </c>
      <c r="B215" s="2" t="s">
        <v>766</v>
      </c>
      <c r="C215" s="2" t="s">
        <v>767</v>
      </c>
      <c r="D215" s="2" t="s">
        <v>490</v>
      </c>
      <c r="E215" s="28" t="s">
        <v>875</v>
      </c>
      <c r="F215" s="2" t="s">
        <v>101</v>
      </c>
      <c r="G215" s="2" t="s">
        <v>770</v>
      </c>
      <c r="H215" s="2">
        <v>817</v>
      </c>
      <c r="I215" s="2">
        <v>131</v>
      </c>
      <c r="J215" s="2" t="s">
        <v>880</v>
      </c>
      <c r="K215" s="5">
        <v>38099</v>
      </c>
      <c r="L215" s="40">
        <v>38104</v>
      </c>
      <c r="M215" s="2" t="s">
        <v>769</v>
      </c>
      <c r="N215" s="47" t="s">
        <v>885</v>
      </c>
      <c r="O215" s="2" t="s">
        <v>768</v>
      </c>
      <c r="P215" s="47" t="s">
        <v>534</v>
      </c>
      <c r="Q215" s="26" t="s">
        <v>319</v>
      </c>
      <c r="R215" s="26">
        <v>31.6</v>
      </c>
      <c r="S215" s="1">
        <v>35</v>
      </c>
      <c r="T215" s="1">
        <v>1.08</v>
      </c>
      <c r="U215" s="1">
        <v>0.4</v>
      </c>
      <c r="V215" s="1">
        <v>8.6</v>
      </c>
      <c r="W215" s="2">
        <v>19.600000000000001</v>
      </c>
      <c r="X215" s="55">
        <f>W215*6.2</f>
        <v>121.52000000000001</v>
      </c>
      <c r="Y215" s="15">
        <v>38099</v>
      </c>
      <c r="Z215" s="15"/>
      <c r="AA215" s="2" t="s">
        <v>399</v>
      </c>
      <c r="AB215" s="2" t="s">
        <v>771</v>
      </c>
      <c r="AC215" s="2" t="s">
        <v>771</v>
      </c>
      <c r="AD215" s="2" t="s">
        <v>772</v>
      </c>
      <c r="AE215" s="47" t="s">
        <v>916</v>
      </c>
      <c r="AF215" s="1" t="s">
        <v>866</v>
      </c>
      <c r="AG215" s="26" t="s">
        <v>966</v>
      </c>
      <c r="AH215" s="2" t="s">
        <v>101</v>
      </c>
      <c r="AI215" s="47" t="s">
        <v>914</v>
      </c>
      <c r="AK215" s="2" t="s">
        <v>101</v>
      </c>
      <c r="AL215" s="2" t="s">
        <v>101</v>
      </c>
      <c r="AM215" s="1">
        <v>48</v>
      </c>
      <c r="AN215" s="1" t="s">
        <v>101</v>
      </c>
      <c r="AO215" s="1">
        <v>5.6639999999999997</v>
      </c>
      <c r="AP215" s="1">
        <v>25</v>
      </c>
      <c r="AQ215" s="1" t="s">
        <v>101</v>
      </c>
      <c r="AR215" s="1">
        <f>21.2*0.25</f>
        <v>5.3</v>
      </c>
      <c r="AS215" s="1" t="s">
        <v>101</v>
      </c>
      <c r="AT215" s="2">
        <f t="shared" si="50"/>
        <v>47.916666666666671</v>
      </c>
      <c r="AU215" s="47">
        <v>47.916666666666671</v>
      </c>
      <c r="AV215" s="1" t="s">
        <v>101</v>
      </c>
      <c r="AW215" s="2" t="s">
        <v>775</v>
      </c>
      <c r="AX215" s="1"/>
      <c r="AY215" s="1"/>
    </row>
    <row r="216" spans="1:51" s="11" customFormat="1" ht="27.75" customHeight="1" thickBot="1" x14ac:dyDescent="0.4">
      <c r="A216" s="8">
        <v>49</v>
      </c>
      <c r="B216" s="11" t="s">
        <v>766</v>
      </c>
      <c r="C216" s="11" t="s">
        <v>767</v>
      </c>
      <c r="D216" s="11" t="s">
        <v>490</v>
      </c>
      <c r="E216" s="29" t="s">
        <v>875</v>
      </c>
      <c r="F216" s="11" t="s">
        <v>101</v>
      </c>
      <c r="G216" s="11" t="s">
        <v>770</v>
      </c>
      <c r="H216" s="2">
        <v>817</v>
      </c>
      <c r="I216" s="2">
        <v>131</v>
      </c>
      <c r="J216" s="2" t="s">
        <v>880</v>
      </c>
      <c r="K216" s="9">
        <v>38099</v>
      </c>
      <c r="L216" s="41">
        <v>38104</v>
      </c>
      <c r="M216" s="11" t="s">
        <v>769</v>
      </c>
      <c r="N216" s="47" t="s">
        <v>885</v>
      </c>
      <c r="O216" s="11" t="s">
        <v>768</v>
      </c>
      <c r="P216" s="47" t="s">
        <v>534</v>
      </c>
      <c r="Q216" s="27" t="s">
        <v>319</v>
      </c>
      <c r="R216" s="27">
        <v>33.799999999999997</v>
      </c>
      <c r="S216" s="8">
        <v>47</v>
      </c>
      <c r="T216" s="8">
        <v>1.27</v>
      </c>
      <c r="U216" s="8">
        <v>0.4</v>
      </c>
      <c r="V216" s="8">
        <v>8.6999999999999993</v>
      </c>
      <c r="W216" s="11">
        <v>18.5</v>
      </c>
      <c r="X216" s="56">
        <f>W216*6</f>
        <v>111</v>
      </c>
      <c r="Y216" s="17">
        <v>38099</v>
      </c>
      <c r="Z216" s="17"/>
      <c r="AA216" s="11" t="s">
        <v>399</v>
      </c>
      <c r="AB216" s="11" t="s">
        <v>771</v>
      </c>
      <c r="AC216" s="11" t="s">
        <v>771</v>
      </c>
      <c r="AD216" s="11" t="s">
        <v>774</v>
      </c>
      <c r="AE216" s="47" t="s">
        <v>916</v>
      </c>
      <c r="AF216" s="8" t="s">
        <v>866</v>
      </c>
      <c r="AG216" s="26" t="s">
        <v>966</v>
      </c>
      <c r="AH216" s="11" t="s">
        <v>101</v>
      </c>
      <c r="AI216" s="47" t="s">
        <v>914</v>
      </c>
      <c r="AK216" s="11" t="s">
        <v>101</v>
      </c>
      <c r="AL216" s="11" t="s">
        <v>101</v>
      </c>
      <c r="AM216" s="8">
        <v>48</v>
      </c>
      <c r="AN216" s="8" t="s">
        <v>101</v>
      </c>
      <c r="AO216" s="8">
        <v>5.6639999999999997</v>
      </c>
      <c r="AP216" s="8">
        <v>39</v>
      </c>
      <c r="AQ216" s="8" t="s">
        <v>101</v>
      </c>
      <c r="AR216" s="8">
        <f>23.5*0.39</f>
        <v>9.1650000000000009</v>
      </c>
      <c r="AS216" s="8" t="s">
        <v>101</v>
      </c>
      <c r="AT216" s="11">
        <f>((AM216-AP216)/AM216)*100</f>
        <v>18.75</v>
      </c>
      <c r="AU216" s="49">
        <v>18.75</v>
      </c>
      <c r="AV216" s="8" t="s">
        <v>101</v>
      </c>
      <c r="AW216" s="11" t="s">
        <v>775</v>
      </c>
      <c r="AX216" s="8"/>
      <c r="AY216" s="8"/>
    </row>
    <row r="217" spans="1:51" s="2" customFormat="1" ht="27.75" customHeight="1" thickTop="1" x14ac:dyDescent="0.35">
      <c r="A217" s="1">
        <v>50</v>
      </c>
      <c r="B217" s="2" t="s">
        <v>776</v>
      </c>
      <c r="C217" s="2" t="s">
        <v>777</v>
      </c>
      <c r="D217" s="2" t="s">
        <v>778</v>
      </c>
      <c r="E217" s="2" t="s">
        <v>779</v>
      </c>
      <c r="F217" s="2" t="s">
        <v>101</v>
      </c>
      <c r="G217" s="2" t="s">
        <v>780</v>
      </c>
      <c r="J217" s="2" t="s">
        <v>882</v>
      </c>
      <c r="K217" s="1">
        <v>2010</v>
      </c>
      <c r="L217" s="1">
        <v>2012</v>
      </c>
      <c r="M217" s="2" t="s">
        <v>781</v>
      </c>
      <c r="N217" s="47" t="s">
        <v>886</v>
      </c>
      <c r="O217" s="2" t="s">
        <v>692</v>
      </c>
      <c r="P217" s="47" t="s">
        <v>534</v>
      </c>
      <c r="Q217" s="26" t="s">
        <v>93</v>
      </c>
      <c r="R217" s="53">
        <v>3.66</v>
      </c>
      <c r="S217" s="1">
        <v>0.25</v>
      </c>
      <c r="T217" s="36">
        <v>1028</v>
      </c>
      <c r="U217" s="1">
        <v>43</v>
      </c>
      <c r="V217" s="1">
        <v>8.9</v>
      </c>
      <c r="W217" s="2" t="s">
        <v>101</v>
      </c>
      <c r="X217" s="55">
        <v>46</v>
      </c>
      <c r="Y217" s="15" t="s">
        <v>787</v>
      </c>
      <c r="Z217" s="15"/>
      <c r="AA217" s="2" t="s">
        <v>789</v>
      </c>
      <c r="AB217" s="2" t="s">
        <v>784</v>
      </c>
      <c r="AC217" s="2" t="s">
        <v>846</v>
      </c>
      <c r="AD217" s="2" t="s">
        <v>785</v>
      </c>
      <c r="AE217" s="47" t="s">
        <v>408</v>
      </c>
      <c r="AF217" s="2" t="s">
        <v>788</v>
      </c>
      <c r="AG217" s="26" t="s">
        <v>966</v>
      </c>
      <c r="AH217" s="2" t="s">
        <v>786</v>
      </c>
      <c r="AI217" s="47" t="s">
        <v>953</v>
      </c>
      <c r="AK217" s="1">
        <v>8.9</v>
      </c>
      <c r="AL217" s="1">
        <v>1.19</v>
      </c>
      <c r="AM217" s="1">
        <v>9.1999999999999993</v>
      </c>
      <c r="AN217" s="1" t="s">
        <v>101</v>
      </c>
      <c r="AO217" s="1" t="s">
        <v>101</v>
      </c>
      <c r="AP217" s="1">
        <v>7.1</v>
      </c>
      <c r="AQ217" s="1" t="s">
        <v>101</v>
      </c>
      <c r="AR217" s="1" t="s">
        <v>101</v>
      </c>
      <c r="AS217" s="1" t="s">
        <v>101</v>
      </c>
      <c r="AT217" s="2" t="s">
        <v>101</v>
      </c>
      <c r="AU217" s="47">
        <f>100*(AM217-AP217)/AM217</f>
        <v>22.826086956521738</v>
      </c>
      <c r="AV217" s="1" t="s">
        <v>101</v>
      </c>
      <c r="AW217" s="2" t="s">
        <v>803</v>
      </c>
      <c r="AX217" s="1"/>
      <c r="AY217" s="3" t="s">
        <v>958</v>
      </c>
    </row>
    <row r="218" spans="1:51" s="2" customFormat="1" ht="27.75" customHeight="1" x14ac:dyDescent="0.35">
      <c r="A218" s="1">
        <v>50</v>
      </c>
      <c r="B218" s="2" t="s">
        <v>776</v>
      </c>
      <c r="C218" s="2" t="s">
        <v>777</v>
      </c>
      <c r="D218" s="2" t="s">
        <v>778</v>
      </c>
      <c r="E218" s="2" t="s">
        <v>779</v>
      </c>
      <c r="F218" s="2" t="s">
        <v>101</v>
      </c>
      <c r="G218" s="2" t="s">
        <v>780</v>
      </c>
      <c r="J218" s="2" t="s">
        <v>882</v>
      </c>
      <c r="K218" s="1">
        <v>2010</v>
      </c>
      <c r="L218" s="1">
        <v>2012</v>
      </c>
      <c r="M218" s="2" t="s">
        <v>782</v>
      </c>
      <c r="N218" s="47" t="s">
        <v>886</v>
      </c>
      <c r="O218" s="2" t="s">
        <v>692</v>
      </c>
      <c r="P218" s="47" t="s">
        <v>534</v>
      </c>
      <c r="Q218" s="26" t="s">
        <v>93</v>
      </c>
      <c r="R218" s="53">
        <v>3.68</v>
      </c>
      <c r="S218" s="1">
        <v>0.24</v>
      </c>
      <c r="T218" s="36">
        <v>609</v>
      </c>
      <c r="U218" s="1">
        <v>65</v>
      </c>
      <c r="V218" s="1">
        <v>7.9</v>
      </c>
      <c r="W218" s="2" t="s">
        <v>101</v>
      </c>
      <c r="X218" s="55">
        <v>63</v>
      </c>
      <c r="Y218" s="15" t="s">
        <v>791</v>
      </c>
      <c r="Z218" s="15"/>
      <c r="AA218" s="2" t="s">
        <v>792</v>
      </c>
      <c r="AB218" s="2" t="s">
        <v>784</v>
      </c>
      <c r="AC218" s="2" t="s">
        <v>846</v>
      </c>
      <c r="AD218" s="2" t="s">
        <v>785</v>
      </c>
      <c r="AE218" s="47" t="s">
        <v>408</v>
      </c>
      <c r="AF218" s="2" t="s">
        <v>788</v>
      </c>
      <c r="AG218" s="26" t="s">
        <v>966</v>
      </c>
      <c r="AH218" s="2" t="s">
        <v>786</v>
      </c>
      <c r="AI218" s="47" t="s">
        <v>953</v>
      </c>
      <c r="AK218" s="1">
        <v>8.6</v>
      </c>
      <c r="AL218" s="1">
        <v>1.24</v>
      </c>
      <c r="AM218" s="7">
        <v>13.1</v>
      </c>
      <c r="AN218" s="1" t="s">
        <v>101</v>
      </c>
      <c r="AO218" s="1" t="s">
        <v>101</v>
      </c>
      <c r="AP218" s="1">
        <v>8.1999999999999993</v>
      </c>
      <c r="AQ218" s="1" t="s">
        <v>101</v>
      </c>
      <c r="AR218" s="1" t="s">
        <v>101</v>
      </c>
      <c r="AS218" s="1" t="s">
        <v>101</v>
      </c>
      <c r="AT218" s="2" t="s">
        <v>101</v>
      </c>
      <c r="AU218" s="47">
        <f>100*(AM218-AP218)/AM218</f>
        <v>37.404580152671763</v>
      </c>
      <c r="AV218" s="1" t="s">
        <v>101</v>
      </c>
      <c r="AW218" s="2" t="s">
        <v>803</v>
      </c>
      <c r="AX218" s="1"/>
      <c r="AY218" s="1"/>
    </row>
    <row r="219" spans="1:51" s="2" customFormat="1" ht="27.75" customHeight="1" x14ac:dyDescent="0.35">
      <c r="A219" s="1">
        <v>50</v>
      </c>
      <c r="B219" s="2" t="s">
        <v>776</v>
      </c>
      <c r="C219" s="2" t="s">
        <v>777</v>
      </c>
      <c r="D219" s="2" t="s">
        <v>778</v>
      </c>
      <c r="E219" s="2" t="s">
        <v>779</v>
      </c>
      <c r="F219" s="2" t="s">
        <v>101</v>
      </c>
      <c r="G219" s="2" t="s">
        <v>780</v>
      </c>
      <c r="J219" s="2" t="s">
        <v>882</v>
      </c>
      <c r="K219" s="1">
        <v>2010</v>
      </c>
      <c r="L219" s="1">
        <v>2012</v>
      </c>
      <c r="M219" s="2" t="s">
        <v>782</v>
      </c>
      <c r="N219" s="47" t="s">
        <v>886</v>
      </c>
      <c r="O219" s="2" t="s">
        <v>692</v>
      </c>
      <c r="P219" s="47" t="s">
        <v>534</v>
      </c>
      <c r="Q219" s="26" t="s">
        <v>93</v>
      </c>
      <c r="R219" s="53">
        <v>3.68</v>
      </c>
      <c r="S219" s="1">
        <v>0.24</v>
      </c>
      <c r="T219" s="36">
        <v>609</v>
      </c>
      <c r="U219" s="1">
        <v>65</v>
      </c>
      <c r="V219" s="1">
        <v>7.9</v>
      </c>
      <c r="W219" s="2" t="s">
        <v>101</v>
      </c>
      <c r="X219" s="55">
        <v>59</v>
      </c>
      <c r="Y219" s="15" t="s">
        <v>791</v>
      </c>
      <c r="Z219" s="15"/>
      <c r="AA219" s="2" t="s">
        <v>792</v>
      </c>
      <c r="AB219" s="2" t="s">
        <v>784</v>
      </c>
      <c r="AC219" s="2" t="s">
        <v>846</v>
      </c>
      <c r="AD219" s="2" t="s">
        <v>790</v>
      </c>
      <c r="AE219" s="47" t="s">
        <v>408</v>
      </c>
      <c r="AF219" s="2" t="s">
        <v>788</v>
      </c>
      <c r="AG219" s="26" t="s">
        <v>966</v>
      </c>
      <c r="AH219" s="2" t="s">
        <v>793</v>
      </c>
      <c r="AI219" s="47" t="s">
        <v>954</v>
      </c>
      <c r="AK219" s="1">
        <v>8.3000000000000007</v>
      </c>
      <c r="AL219" s="1">
        <v>2.65</v>
      </c>
      <c r="AM219" s="7">
        <v>13.1</v>
      </c>
      <c r="AN219" s="1" t="s">
        <v>101</v>
      </c>
      <c r="AO219" s="1" t="s">
        <v>101</v>
      </c>
      <c r="AP219" s="1">
        <v>7.3</v>
      </c>
      <c r="AQ219" s="1" t="s">
        <v>101</v>
      </c>
      <c r="AR219" s="1" t="s">
        <v>101</v>
      </c>
      <c r="AS219" s="1" t="s">
        <v>101</v>
      </c>
      <c r="AT219" s="2" t="s">
        <v>101</v>
      </c>
      <c r="AU219" s="47">
        <f>100*(AM219-AP219)/AM219</f>
        <v>44.274809160305345</v>
      </c>
      <c r="AV219" s="1" t="s">
        <v>101</v>
      </c>
      <c r="AW219" s="2" t="s">
        <v>803</v>
      </c>
      <c r="AX219" s="1"/>
      <c r="AY219" s="1"/>
    </row>
    <row r="220" spans="1:51" s="2" customFormat="1" ht="27.75" customHeight="1" x14ac:dyDescent="0.35">
      <c r="A220" s="1">
        <v>50</v>
      </c>
      <c r="B220" s="2" t="s">
        <v>776</v>
      </c>
      <c r="C220" s="2" t="s">
        <v>777</v>
      </c>
      <c r="D220" s="2" t="s">
        <v>778</v>
      </c>
      <c r="E220" s="2" t="s">
        <v>779</v>
      </c>
      <c r="F220" s="2" t="s">
        <v>101</v>
      </c>
      <c r="G220" s="2" t="s">
        <v>780</v>
      </c>
      <c r="J220" s="2" t="s">
        <v>882</v>
      </c>
      <c r="K220" s="1">
        <v>2010</v>
      </c>
      <c r="L220" s="1">
        <v>2012</v>
      </c>
      <c r="M220" s="2" t="s">
        <v>783</v>
      </c>
      <c r="N220" s="47" t="s">
        <v>886</v>
      </c>
      <c r="O220" s="2" t="s">
        <v>692</v>
      </c>
      <c r="P220" s="47" t="s">
        <v>534</v>
      </c>
      <c r="Q220" s="26" t="s">
        <v>93</v>
      </c>
      <c r="R220" s="53">
        <v>3.62</v>
      </c>
      <c r="S220" s="1">
        <v>0.08</v>
      </c>
      <c r="T220" s="36">
        <v>727</v>
      </c>
      <c r="U220" s="1">
        <v>49</v>
      </c>
      <c r="V220" s="1">
        <v>7.4</v>
      </c>
      <c r="W220" s="2" t="s">
        <v>101</v>
      </c>
      <c r="X220" s="55">
        <v>39</v>
      </c>
      <c r="Y220" s="15" t="s">
        <v>800</v>
      </c>
      <c r="Z220" s="15"/>
      <c r="AA220" s="2" t="s">
        <v>801</v>
      </c>
      <c r="AB220" s="2" t="s">
        <v>802</v>
      </c>
      <c r="AC220" s="2" t="s">
        <v>846</v>
      </c>
      <c r="AD220" s="2" t="s">
        <v>785</v>
      </c>
      <c r="AE220" s="47" t="s">
        <v>408</v>
      </c>
      <c r="AF220" s="2" t="s">
        <v>788</v>
      </c>
      <c r="AG220" s="26" t="s">
        <v>966</v>
      </c>
      <c r="AH220" s="2" t="s">
        <v>786</v>
      </c>
      <c r="AI220" s="47" t="s">
        <v>953</v>
      </c>
      <c r="AK220" s="1">
        <v>8.1999999999999993</v>
      </c>
      <c r="AL220" s="1">
        <v>1.95</v>
      </c>
      <c r="AM220" s="7">
        <v>12.8</v>
      </c>
      <c r="AN220" s="1" t="s">
        <v>101</v>
      </c>
      <c r="AO220" s="1" t="s">
        <v>101</v>
      </c>
      <c r="AP220" s="1">
        <v>10</v>
      </c>
      <c r="AQ220" s="1" t="s">
        <v>101</v>
      </c>
      <c r="AR220" s="1" t="s">
        <v>101</v>
      </c>
      <c r="AS220" s="1" t="s">
        <v>101</v>
      </c>
      <c r="AT220" s="2">
        <f>((13-10)/13)*100</f>
        <v>23.076923076923077</v>
      </c>
      <c r="AU220" s="47">
        <f>100*(AM220-AP220)/AM220</f>
        <v>21.875000000000004</v>
      </c>
      <c r="AV220" s="1" t="s">
        <v>101</v>
      </c>
      <c r="AW220" s="2" t="s">
        <v>803</v>
      </c>
      <c r="AX220" s="1"/>
      <c r="AY220" s="1"/>
    </row>
    <row r="221" spans="1:51" s="2" customFormat="1" ht="27.75" customHeight="1" x14ac:dyDescent="0.35">
      <c r="A221" s="1">
        <v>50</v>
      </c>
      <c r="B221" s="2" t="s">
        <v>776</v>
      </c>
      <c r="C221" s="2" t="s">
        <v>777</v>
      </c>
      <c r="D221" s="2" t="s">
        <v>778</v>
      </c>
      <c r="E221" s="2" t="s">
        <v>779</v>
      </c>
      <c r="F221" s="2" t="s">
        <v>101</v>
      </c>
      <c r="G221" s="2" t="s">
        <v>780</v>
      </c>
      <c r="J221" s="2" t="s">
        <v>882</v>
      </c>
      <c r="K221" s="1">
        <v>2010</v>
      </c>
      <c r="L221" s="1">
        <v>2012</v>
      </c>
      <c r="M221" s="2" t="s">
        <v>783</v>
      </c>
      <c r="N221" s="47" t="s">
        <v>886</v>
      </c>
      <c r="O221" s="2" t="s">
        <v>692</v>
      </c>
      <c r="P221" s="47" t="s">
        <v>534</v>
      </c>
      <c r="Q221" s="26" t="s">
        <v>93</v>
      </c>
      <c r="R221" s="53">
        <v>1.95</v>
      </c>
      <c r="S221" s="1">
        <v>0.04</v>
      </c>
      <c r="T221" s="36">
        <v>724</v>
      </c>
      <c r="U221" s="1">
        <v>55</v>
      </c>
      <c r="V221" s="1">
        <v>8.1999999999999993</v>
      </c>
      <c r="W221" s="2" t="s">
        <v>101</v>
      </c>
      <c r="X221" s="55">
        <v>43</v>
      </c>
      <c r="Y221" s="15" t="s">
        <v>800</v>
      </c>
      <c r="Z221" s="15"/>
      <c r="AA221" s="2" t="s">
        <v>801</v>
      </c>
      <c r="AB221" s="2" t="s">
        <v>802</v>
      </c>
      <c r="AC221" s="2" t="s">
        <v>846</v>
      </c>
      <c r="AD221" s="2" t="s">
        <v>794</v>
      </c>
      <c r="AE221" s="47" t="s">
        <v>408</v>
      </c>
      <c r="AF221" s="2" t="s">
        <v>785</v>
      </c>
      <c r="AG221" s="26" t="s">
        <v>966</v>
      </c>
      <c r="AH221" s="2" t="s">
        <v>795</v>
      </c>
      <c r="AI221" s="47" t="s">
        <v>955</v>
      </c>
      <c r="AK221" s="1">
        <v>8.1999999999999993</v>
      </c>
      <c r="AL221" s="1">
        <v>1.9</v>
      </c>
      <c r="AM221" s="7">
        <v>12.8</v>
      </c>
      <c r="AN221" s="1" t="s">
        <v>101</v>
      </c>
      <c r="AO221" s="1" t="s">
        <v>101</v>
      </c>
      <c r="AP221" s="1">
        <v>11.2</v>
      </c>
      <c r="AQ221" s="1" t="s">
        <v>101</v>
      </c>
      <c r="AR221" s="1" t="s">
        <v>101</v>
      </c>
      <c r="AS221" s="1" t="s">
        <v>101</v>
      </c>
      <c r="AT221" s="2">
        <f>((10-11)/10)*100</f>
        <v>-10</v>
      </c>
      <c r="AU221" s="47">
        <f t="shared" ref="AU221:AU224" si="51">100*(AM221-AP221)/AM221</f>
        <v>12.500000000000011</v>
      </c>
      <c r="AV221" s="1" t="s">
        <v>101</v>
      </c>
      <c r="AW221" s="2" t="s">
        <v>803</v>
      </c>
      <c r="AX221" s="1"/>
      <c r="AY221" s="1"/>
    </row>
    <row r="222" spans="1:51" s="2" customFormat="1" ht="27.75" customHeight="1" x14ac:dyDescent="0.35">
      <c r="A222" s="1">
        <v>50</v>
      </c>
      <c r="B222" s="2" t="s">
        <v>776</v>
      </c>
      <c r="C222" s="2" t="s">
        <v>777</v>
      </c>
      <c r="D222" s="2" t="s">
        <v>778</v>
      </c>
      <c r="E222" s="2" t="s">
        <v>779</v>
      </c>
      <c r="F222" s="2" t="s">
        <v>101</v>
      </c>
      <c r="G222" s="2" t="s">
        <v>780</v>
      </c>
      <c r="J222" s="2" t="s">
        <v>882</v>
      </c>
      <c r="K222" s="1">
        <v>2010</v>
      </c>
      <c r="L222" s="1">
        <v>2012</v>
      </c>
      <c r="M222" s="2" t="s">
        <v>783</v>
      </c>
      <c r="N222" s="47" t="s">
        <v>886</v>
      </c>
      <c r="O222" s="2" t="s">
        <v>692</v>
      </c>
      <c r="P222" s="47" t="s">
        <v>534</v>
      </c>
      <c r="Q222" s="26" t="s">
        <v>93</v>
      </c>
      <c r="R222" s="53">
        <v>3.62</v>
      </c>
      <c r="S222" s="1">
        <v>0.08</v>
      </c>
      <c r="T222" s="36">
        <v>727</v>
      </c>
      <c r="U222" s="1">
        <v>49</v>
      </c>
      <c r="V222" s="1">
        <v>7.4</v>
      </c>
      <c r="W222" s="2" t="s">
        <v>101</v>
      </c>
      <c r="X222" s="55">
        <v>45</v>
      </c>
      <c r="Y222" s="15" t="s">
        <v>800</v>
      </c>
      <c r="Z222" s="15"/>
      <c r="AA222" s="2" t="s">
        <v>801</v>
      </c>
      <c r="AB222" s="2" t="s">
        <v>802</v>
      </c>
      <c r="AC222" s="2" t="s">
        <v>846</v>
      </c>
      <c r="AD222" s="2" t="s">
        <v>796</v>
      </c>
      <c r="AE222" s="47" t="s">
        <v>408</v>
      </c>
      <c r="AF222" s="2" t="s">
        <v>788</v>
      </c>
      <c r="AG222" s="26" t="s">
        <v>966</v>
      </c>
      <c r="AH222" s="2" t="s">
        <v>797</v>
      </c>
      <c r="AI222" s="47" t="s">
        <v>956</v>
      </c>
      <c r="AK222" s="1">
        <v>7.9</v>
      </c>
      <c r="AL222" s="1">
        <v>2.5299999999999998</v>
      </c>
      <c r="AM222" s="7">
        <v>12.8</v>
      </c>
      <c r="AN222" s="1" t="s">
        <v>101</v>
      </c>
      <c r="AO222" s="1" t="s">
        <v>101</v>
      </c>
      <c r="AP222" s="1">
        <v>16.7</v>
      </c>
      <c r="AQ222" s="1" t="s">
        <v>101</v>
      </c>
      <c r="AR222" s="1" t="s">
        <v>101</v>
      </c>
      <c r="AS222" s="1" t="s">
        <v>101</v>
      </c>
      <c r="AT222" s="2">
        <f>((13-17)/13)*100</f>
        <v>-30.76923076923077</v>
      </c>
      <c r="AU222" s="47">
        <f>100*(AM222-AP222)/AM222</f>
        <v>-30.468749999999989</v>
      </c>
      <c r="AV222" s="1" t="s">
        <v>101</v>
      </c>
      <c r="AW222" s="2" t="s">
        <v>803</v>
      </c>
      <c r="AX222" s="1"/>
      <c r="AY222" s="1"/>
    </row>
    <row r="223" spans="1:51" s="2" customFormat="1" ht="27.75" customHeight="1" x14ac:dyDescent="0.35">
      <c r="A223" s="1">
        <v>50</v>
      </c>
      <c r="B223" s="2" t="s">
        <v>776</v>
      </c>
      <c r="C223" s="2" t="s">
        <v>777</v>
      </c>
      <c r="D223" s="2" t="s">
        <v>778</v>
      </c>
      <c r="E223" s="2" t="s">
        <v>779</v>
      </c>
      <c r="F223" s="2" t="s">
        <v>101</v>
      </c>
      <c r="G223" s="2" t="s">
        <v>780</v>
      </c>
      <c r="J223" s="2" t="s">
        <v>882</v>
      </c>
      <c r="K223" s="1">
        <v>2010</v>
      </c>
      <c r="L223" s="1">
        <v>2012</v>
      </c>
      <c r="M223" s="2" t="s">
        <v>783</v>
      </c>
      <c r="N223" s="47" t="s">
        <v>886</v>
      </c>
      <c r="O223" s="2" t="s">
        <v>692</v>
      </c>
      <c r="P223" s="47" t="s">
        <v>534</v>
      </c>
      <c r="Q223" s="26" t="s">
        <v>93</v>
      </c>
      <c r="R223" s="53">
        <v>3.62</v>
      </c>
      <c r="S223" s="1">
        <v>0.08</v>
      </c>
      <c r="T223" s="36">
        <v>727</v>
      </c>
      <c r="U223" s="1">
        <v>49</v>
      </c>
      <c r="V223" s="1">
        <v>7.4</v>
      </c>
      <c r="W223" s="2" t="s">
        <v>101</v>
      </c>
      <c r="X223" s="55">
        <v>47</v>
      </c>
      <c r="Y223" s="15" t="s">
        <v>800</v>
      </c>
      <c r="Z223" s="15"/>
      <c r="AA223" s="2" t="s">
        <v>801</v>
      </c>
      <c r="AB223" s="2" t="s">
        <v>802</v>
      </c>
      <c r="AC223" s="2" t="s">
        <v>846</v>
      </c>
      <c r="AD223" s="2" t="s">
        <v>790</v>
      </c>
      <c r="AE223" s="47" t="s">
        <v>408</v>
      </c>
      <c r="AF223" s="2" t="s">
        <v>788</v>
      </c>
      <c r="AG223" s="26" t="s">
        <v>966</v>
      </c>
      <c r="AH223" s="2" t="s">
        <v>793</v>
      </c>
      <c r="AI223" s="47" t="s">
        <v>954</v>
      </c>
      <c r="AK223" s="1">
        <v>7.8</v>
      </c>
      <c r="AL223" s="1">
        <v>1.64</v>
      </c>
      <c r="AM223" s="7">
        <v>12.8</v>
      </c>
      <c r="AN223" s="1" t="s">
        <v>101</v>
      </c>
      <c r="AO223" s="1" t="s">
        <v>101</v>
      </c>
      <c r="AP223" s="1">
        <v>5.2</v>
      </c>
      <c r="AQ223" s="1" t="s">
        <v>101</v>
      </c>
      <c r="AR223" s="1" t="s">
        <v>101</v>
      </c>
      <c r="AS223" s="1" t="s">
        <v>101</v>
      </c>
      <c r="AT223" s="2">
        <f>((13-5)/13)*100</f>
        <v>61.53846153846154</v>
      </c>
      <c r="AU223" s="47">
        <f t="shared" si="51"/>
        <v>59.375</v>
      </c>
      <c r="AV223" s="1" t="s">
        <v>101</v>
      </c>
      <c r="AW223" s="2" t="s">
        <v>803</v>
      </c>
      <c r="AX223" s="1"/>
      <c r="AY223" s="1"/>
    </row>
    <row r="224" spans="1:51" s="2" customFormat="1" ht="27.75" customHeight="1" x14ac:dyDescent="0.35">
      <c r="A224" s="1">
        <v>50</v>
      </c>
      <c r="B224" s="2" t="s">
        <v>776</v>
      </c>
      <c r="C224" s="2" t="s">
        <v>777</v>
      </c>
      <c r="D224" s="2" t="s">
        <v>778</v>
      </c>
      <c r="E224" s="2" t="s">
        <v>779</v>
      </c>
      <c r="F224" s="2" t="s">
        <v>101</v>
      </c>
      <c r="G224" s="2" t="s">
        <v>780</v>
      </c>
      <c r="J224" s="2" t="s">
        <v>882</v>
      </c>
      <c r="K224" s="1">
        <v>2010</v>
      </c>
      <c r="L224" s="1">
        <v>2012</v>
      </c>
      <c r="M224" s="2" t="s">
        <v>783</v>
      </c>
      <c r="N224" s="47" t="s">
        <v>886</v>
      </c>
      <c r="O224" s="2" t="s">
        <v>692</v>
      </c>
      <c r="P224" s="47" t="s">
        <v>534</v>
      </c>
      <c r="Q224" s="26" t="s">
        <v>93</v>
      </c>
      <c r="R224" s="53">
        <v>1.64</v>
      </c>
      <c r="S224" s="1">
        <v>0.02</v>
      </c>
      <c r="T224" s="36">
        <v>602</v>
      </c>
      <c r="U224" s="1">
        <v>40</v>
      </c>
      <c r="V224" s="1">
        <v>7.8</v>
      </c>
      <c r="W224" s="2" t="s">
        <v>101</v>
      </c>
      <c r="X224" s="55">
        <v>42</v>
      </c>
      <c r="Y224" s="15" t="s">
        <v>800</v>
      </c>
      <c r="Z224" s="15"/>
      <c r="AA224" s="2" t="s">
        <v>801</v>
      </c>
      <c r="AB224" s="2" t="s">
        <v>802</v>
      </c>
      <c r="AC224" s="2" t="s">
        <v>846</v>
      </c>
      <c r="AD224" s="2" t="s">
        <v>798</v>
      </c>
      <c r="AE224" s="47" t="s">
        <v>408</v>
      </c>
      <c r="AF224" s="2" t="s">
        <v>790</v>
      </c>
      <c r="AG224" s="26" t="s">
        <v>966</v>
      </c>
      <c r="AH224" s="2" t="s">
        <v>799</v>
      </c>
      <c r="AI224" s="47" t="s">
        <v>957</v>
      </c>
      <c r="AK224" s="1">
        <v>7.7</v>
      </c>
      <c r="AL224" s="1">
        <v>1.73</v>
      </c>
      <c r="AM224" s="7">
        <v>12.8</v>
      </c>
      <c r="AN224" s="1" t="s">
        <v>101</v>
      </c>
      <c r="AO224" s="1" t="s">
        <v>101</v>
      </c>
      <c r="AP224" s="1">
        <v>8.1</v>
      </c>
      <c r="AQ224" s="1" t="s">
        <v>101</v>
      </c>
      <c r="AR224" s="1" t="s">
        <v>101</v>
      </c>
      <c r="AS224" s="1" t="s">
        <v>101</v>
      </c>
      <c r="AT224" s="2">
        <f>((5-8.1)/5)*100</f>
        <v>-61.999999999999986</v>
      </c>
      <c r="AU224" s="47">
        <f t="shared" si="51"/>
        <v>36.718750000000007</v>
      </c>
      <c r="AV224" s="1" t="s">
        <v>101</v>
      </c>
      <c r="AW224" s="2" t="s">
        <v>803</v>
      </c>
      <c r="AX224" s="1"/>
      <c r="AY224" s="1"/>
    </row>
    <row r="225" spans="1:51" s="2" customFormat="1" ht="27.75" customHeight="1" x14ac:dyDescent="0.35">
      <c r="A225" s="1">
        <v>51</v>
      </c>
      <c r="B225" s="2" t="s">
        <v>805</v>
      </c>
      <c r="C225" s="2" t="s">
        <v>804</v>
      </c>
      <c r="D225" s="2" t="s">
        <v>430</v>
      </c>
      <c r="E225" s="28" t="s">
        <v>874</v>
      </c>
      <c r="F225" s="2" t="s">
        <v>807</v>
      </c>
      <c r="G225" s="2" t="s">
        <v>808</v>
      </c>
      <c r="H225" s="2">
        <v>20</v>
      </c>
      <c r="I225" s="2">
        <v>340</v>
      </c>
      <c r="J225" s="2" t="s">
        <v>882</v>
      </c>
      <c r="K225" s="1">
        <v>2019</v>
      </c>
      <c r="L225" s="1">
        <v>2020</v>
      </c>
      <c r="M225" s="2" t="s">
        <v>806</v>
      </c>
      <c r="N225" s="47" t="s">
        <v>885</v>
      </c>
      <c r="O225" s="2" t="s">
        <v>823</v>
      </c>
      <c r="P225" s="47" t="s">
        <v>534</v>
      </c>
      <c r="Q225" s="26" t="s">
        <v>93</v>
      </c>
      <c r="R225" s="26">
        <v>6.4</v>
      </c>
      <c r="S225" s="1" t="s">
        <v>101</v>
      </c>
      <c r="T225" s="1" t="s">
        <v>101</v>
      </c>
      <c r="U225" s="1" t="s">
        <v>101</v>
      </c>
      <c r="V225" s="1">
        <v>6.75</v>
      </c>
      <c r="W225" s="2" t="s">
        <v>101</v>
      </c>
      <c r="X225" s="47">
        <v>170</v>
      </c>
      <c r="Y225" s="2" t="s">
        <v>837</v>
      </c>
      <c r="AA225" s="28" t="s">
        <v>306</v>
      </c>
      <c r="AB225" s="2" t="s">
        <v>839</v>
      </c>
      <c r="AC225" s="2" t="s">
        <v>683</v>
      </c>
      <c r="AD225" s="2" t="s">
        <v>826</v>
      </c>
      <c r="AE225" s="47" t="s">
        <v>936</v>
      </c>
      <c r="AF225" s="2" t="s">
        <v>825</v>
      </c>
      <c r="AG225" s="47" t="s">
        <v>936</v>
      </c>
      <c r="AH225" s="2" t="s">
        <v>827</v>
      </c>
      <c r="AI225" s="47" t="s">
        <v>924</v>
      </c>
      <c r="AK225" s="1">
        <v>5.8</v>
      </c>
      <c r="AL225" s="1" t="s">
        <v>101</v>
      </c>
      <c r="AM225" s="1">
        <v>29</v>
      </c>
      <c r="AN225" s="36" t="s">
        <v>101</v>
      </c>
      <c r="AO225" s="1">
        <v>11.3</v>
      </c>
      <c r="AP225" s="1">
        <v>18</v>
      </c>
      <c r="AQ225" s="36" t="s">
        <v>101</v>
      </c>
      <c r="AR225" s="1">
        <v>6.1</v>
      </c>
      <c r="AS225" s="1">
        <v>3.5</v>
      </c>
      <c r="AT225" s="2">
        <v>45.5</v>
      </c>
      <c r="AU225" s="47">
        <v>45.5</v>
      </c>
      <c r="AV225" s="28" t="s">
        <v>101</v>
      </c>
      <c r="AW225" s="2" t="s">
        <v>840</v>
      </c>
      <c r="AX225" s="1">
        <f t="shared" ref="AX225:AX269" si="52">((AO225-AR225)/AO225)*100</f>
        <v>46.017699115044252</v>
      </c>
      <c r="AY225" s="1"/>
    </row>
    <row r="226" spans="1:51" s="2" customFormat="1" ht="27.75" customHeight="1" x14ac:dyDescent="0.35">
      <c r="A226" s="1">
        <v>51</v>
      </c>
      <c r="B226" s="2" t="s">
        <v>805</v>
      </c>
      <c r="C226" s="2" t="s">
        <v>804</v>
      </c>
      <c r="D226" s="2" t="s">
        <v>430</v>
      </c>
      <c r="E226" s="28" t="s">
        <v>874</v>
      </c>
      <c r="F226" s="2" t="s">
        <v>807</v>
      </c>
      <c r="G226" s="2" t="s">
        <v>808</v>
      </c>
      <c r="H226" s="2">
        <v>20</v>
      </c>
      <c r="I226" s="2">
        <v>340</v>
      </c>
      <c r="J226" s="2" t="s">
        <v>882</v>
      </c>
      <c r="K226" s="1">
        <v>2019</v>
      </c>
      <c r="L226" s="1">
        <v>2020</v>
      </c>
      <c r="M226" s="2" t="s">
        <v>806</v>
      </c>
      <c r="N226" s="47" t="s">
        <v>885</v>
      </c>
      <c r="O226" s="2" t="s">
        <v>823</v>
      </c>
      <c r="P226" s="47" t="s">
        <v>534</v>
      </c>
      <c r="Q226" s="26" t="s">
        <v>93</v>
      </c>
      <c r="R226" s="26">
        <v>6.4</v>
      </c>
      <c r="S226" s="1" t="s">
        <v>101</v>
      </c>
      <c r="T226" s="1" t="s">
        <v>101</v>
      </c>
      <c r="U226" s="1" t="s">
        <v>101</v>
      </c>
      <c r="V226" s="1">
        <v>6.75</v>
      </c>
      <c r="W226" s="2" t="s">
        <v>101</v>
      </c>
      <c r="X226" s="47">
        <v>170</v>
      </c>
      <c r="Y226" s="2" t="s">
        <v>837</v>
      </c>
      <c r="AA226" s="28" t="s">
        <v>306</v>
      </c>
      <c r="AB226" s="2" t="s">
        <v>839</v>
      </c>
      <c r="AC226" s="2" t="s">
        <v>683</v>
      </c>
      <c r="AD226" s="2" t="s">
        <v>828</v>
      </c>
      <c r="AE226" s="47" t="s">
        <v>1036</v>
      </c>
      <c r="AF226" s="2" t="s">
        <v>825</v>
      </c>
      <c r="AG226" s="47" t="s">
        <v>936</v>
      </c>
      <c r="AH226" s="2" t="s">
        <v>101</v>
      </c>
      <c r="AI226" s="47" t="s">
        <v>914</v>
      </c>
      <c r="AK226" s="2" t="s">
        <v>101</v>
      </c>
      <c r="AL226" s="1" t="s">
        <v>101</v>
      </c>
      <c r="AM226" s="1">
        <v>29</v>
      </c>
      <c r="AN226" s="36" t="s">
        <v>101</v>
      </c>
      <c r="AO226" s="1">
        <v>11.3</v>
      </c>
      <c r="AP226" s="1">
        <v>18</v>
      </c>
      <c r="AQ226" s="36" t="s">
        <v>101</v>
      </c>
      <c r="AR226" s="1">
        <v>7.4</v>
      </c>
      <c r="AS226" s="1">
        <v>6.1</v>
      </c>
      <c r="AT226" s="2">
        <v>38.5</v>
      </c>
      <c r="AU226" s="47">
        <v>38.5</v>
      </c>
      <c r="AV226" s="28" t="s">
        <v>101</v>
      </c>
      <c r="AW226" s="2" t="s">
        <v>840</v>
      </c>
      <c r="AX226" s="1">
        <f t="shared" si="52"/>
        <v>34.513274336283189</v>
      </c>
      <c r="AY226" s="1"/>
    </row>
    <row r="227" spans="1:51" s="2" customFormat="1" ht="27.75" customHeight="1" x14ac:dyDescent="0.35">
      <c r="A227" s="1">
        <v>51</v>
      </c>
      <c r="B227" s="2" t="s">
        <v>805</v>
      </c>
      <c r="C227" s="2" t="s">
        <v>804</v>
      </c>
      <c r="D227" s="2" t="s">
        <v>430</v>
      </c>
      <c r="E227" s="28" t="s">
        <v>874</v>
      </c>
      <c r="F227" s="2" t="s">
        <v>807</v>
      </c>
      <c r="G227" s="2" t="s">
        <v>808</v>
      </c>
      <c r="H227" s="2">
        <v>20</v>
      </c>
      <c r="I227" s="2">
        <v>340</v>
      </c>
      <c r="J227" s="2" t="s">
        <v>882</v>
      </c>
      <c r="K227" s="1">
        <v>2019</v>
      </c>
      <c r="L227" s="1">
        <v>2020</v>
      </c>
      <c r="M227" s="2" t="s">
        <v>806</v>
      </c>
      <c r="N227" s="47" t="s">
        <v>885</v>
      </c>
      <c r="O227" s="2" t="s">
        <v>823</v>
      </c>
      <c r="P227" s="47" t="s">
        <v>534</v>
      </c>
      <c r="Q227" s="26" t="s">
        <v>93</v>
      </c>
      <c r="R227" s="26">
        <v>6.4</v>
      </c>
      <c r="S227" s="1" t="s">
        <v>101</v>
      </c>
      <c r="T227" s="1" t="s">
        <v>101</v>
      </c>
      <c r="U227" s="1" t="s">
        <v>101</v>
      </c>
      <c r="V227" s="1">
        <v>6.75</v>
      </c>
      <c r="W227" s="2" t="s">
        <v>101</v>
      </c>
      <c r="X227" s="47">
        <v>170</v>
      </c>
      <c r="Y227" s="2" t="s">
        <v>837</v>
      </c>
      <c r="AA227" s="28" t="s">
        <v>306</v>
      </c>
      <c r="AB227" s="2" t="s">
        <v>839</v>
      </c>
      <c r="AC227" s="2" t="s">
        <v>683</v>
      </c>
      <c r="AD227" s="2" t="s">
        <v>829</v>
      </c>
      <c r="AE227" s="47" t="s">
        <v>1036</v>
      </c>
      <c r="AF227" s="2" t="s">
        <v>825</v>
      </c>
      <c r="AG227" s="47" t="s">
        <v>936</v>
      </c>
      <c r="AH227" s="2" t="s">
        <v>830</v>
      </c>
      <c r="AI227" s="47" t="s">
        <v>937</v>
      </c>
      <c r="AK227" s="2" t="s">
        <v>101</v>
      </c>
      <c r="AL227" s="1" t="s">
        <v>101</v>
      </c>
      <c r="AM227" s="1">
        <v>29</v>
      </c>
      <c r="AN227" s="36" t="s">
        <v>101</v>
      </c>
      <c r="AO227" s="1">
        <v>11.3</v>
      </c>
      <c r="AP227" s="1">
        <v>14</v>
      </c>
      <c r="AQ227" s="36" t="s">
        <v>101</v>
      </c>
      <c r="AR227" s="1">
        <v>5.0999999999999996</v>
      </c>
      <c r="AS227" s="1">
        <v>4.8</v>
      </c>
      <c r="AT227" s="2">
        <v>51.5</v>
      </c>
      <c r="AU227" s="47">
        <v>51.5</v>
      </c>
      <c r="AV227" s="28" t="s">
        <v>101</v>
      </c>
      <c r="AW227" s="2" t="s">
        <v>840</v>
      </c>
      <c r="AX227" s="1">
        <f t="shared" si="52"/>
        <v>54.867256637168147</v>
      </c>
      <c r="AY227" s="1"/>
    </row>
    <row r="228" spans="1:51" s="2" customFormat="1" ht="27.75" customHeight="1" x14ac:dyDescent="0.35">
      <c r="A228" s="1">
        <v>51</v>
      </c>
      <c r="B228" s="2" t="s">
        <v>805</v>
      </c>
      <c r="C228" s="2" t="s">
        <v>804</v>
      </c>
      <c r="D228" s="2" t="s">
        <v>430</v>
      </c>
      <c r="E228" s="28" t="s">
        <v>874</v>
      </c>
      <c r="F228" s="2" t="s">
        <v>807</v>
      </c>
      <c r="G228" s="2" t="s">
        <v>808</v>
      </c>
      <c r="H228" s="2">
        <v>20</v>
      </c>
      <c r="I228" s="2">
        <v>340</v>
      </c>
      <c r="J228" s="2" t="s">
        <v>882</v>
      </c>
      <c r="K228" s="1">
        <v>2019</v>
      </c>
      <c r="L228" s="1">
        <v>2020</v>
      </c>
      <c r="M228" s="2" t="s">
        <v>806</v>
      </c>
      <c r="N228" s="47" t="s">
        <v>885</v>
      </c>
      <c r="O228" s="2" t="s">
        <v>824</v>
      </c>
      <c r="P228" s="47" t="s">
        <v>894</v>
      </c>
      <c r="Q228" s="26" t="s">
        <v>93</v>
      </c>
      <c r="R228" s="26">
        <v>7.5</v>
      </c>
      <c r="S228" s="1" t="s">
        <v>101</v>
      </c>
      <c r="T228" s="1" t="s">
        <v>101</v>
      </c>
      <c r="U228" s="1" t="s">
        <v>101</v>
      </c>
      <c r="V228" s="1">
        <v>7.75</v>
      </c>
      <c r="W228" s="2" t="s">
        <v>101</v>
      </c>
      <c r="X228" s="47">
        <v>170</v>
      </c>
      <c r="Y228" s="2" t="s">
        <v>837</v>
      </c>
      <c r="AA228" s="28" t="s">
        <v>306</v>
      </c>
      <c r="AB228" s="2" t="s">
        <v>839</v>
      </c>
      <c r="AC228" s="2" t="s">
        <v>683</v>
      </c>
      <c r="AD228" s="2" t="s">
        <v>832</v>
      </c>
      <c r="AE228" s="47" t="s">
        <v>936</v>
      </c>
      <c r="AF228" s="2" t="s">
        <v>831</v>
      </c>
      <c r="AG228" s="47" t="s">
        <v>936</v>
      </c>
      <c r="AH228" s="2" t="s">
        <v>835</v>
      </c>
      <c r="AI228" s="47" t="s">
        <v>959</v>
      </c>
      <c r="AK228" s="1">
        <v>6.15</v>
      </c>
      <c r="AL228" s="1" t="s">
        <v>101</v>
      </c>
      <c r="AM228" s="1">
        <v>44</v>
      </c>
      <c r="AN228" s="36" t="s">
        <v>101</v>
      </c>
      <c r="AO228" s="1">
        <v>21.5</v>
      </c>
      <c r="AP228" s="1">
        <v>18</v>
      </c>
      <c r="AQ228" s="36" t="s">
        <v>101</v>
      </c>
      <c r="AR228" s="1">
        <v>8.3000000000000007</v>
      </c>
      <c r="AS228" s="1">
        <v>5.8</v>
      </c>
      <c r="AT228" s="2">
        <v>62.5</v>
      </c>
      <c r="AU228" s="47">
        <v>62.5</v>
      </c>
      <c r="AV228" s="28" t="s">
        <v>101</v>
      </c>
      <c r="AW228" s="2" t="s">
        <v>840</v>
      </c>
      <c r="AX228" s="1">
        <f t="shared" si="52"/>
        <v>61.395348837209298</v>
      </c>
      <c r="AY228" s="1"/>
    </row>
    <row r="229" spans="1:51" s="2" customFormat="1" ht="27.75" customHeight="1" x14ac:dyDescent="0.35">
      <c r="A229" s="1">
        <v>51</v>
      </c>
      <c r="B229" s="2" t="s">
        <v>805</v>
      </c>
      <c r="C229" s="2" t="s">
        <v>804</v>
      </c>
      <c r="D229" s="2" t="s">
        <v>430</v>
      </c>
      <c r="E229" s="28" t="s">
        <v>874</v>
      </c>
      <c r="F229" s="2" t="s">
        <v>807</v>
      </c>
      <c r="G229" s="2" t="s">
        <v>808</v>
      </c>
      <c r="H229" s="2">
        <v>20</v>
      </c>
      <c r="I229" s="2">
        <v>340</v>
      </c>
      <c r="J229" s="2" t="s">
        <v>882</v>
      </c>
      <c r="K229" s="1">
        <v>2019</v>
      </c>
      <c r="L229" s="1">
        <v>2020</v>
      </c>
      <c r="M229" s="2" t="s">
        <v>806</v>
      </c>
      <c r="N229" s="47" t="s">
        <v>885</v>
      </c>
      <c r="O229" s="2" t="s">
        <v>824</v>
      </c>
      <c r="P229" s="47" t="s">
        <v>894</v>
      </c>
      <c r="Q229" s="26" t="s">
        <v>93</v>
      </c>
      <c r="R229" s="26">
        <v>7.5</v>
      </c>
      <c r="S229" s="1" t="s">
        <v>101</v>
      </c>
      <c r="T229" s="1" t="s">
        <v>101</v>
      </c>
      <c r="U229" s="1" t="s">
        <v>101</v>
      </c>
      <c r="V229" s="1">
        <v>7.75</v>
      </c>
      <c r="W229" s="2" t="s">
        <v>101</v>
      </c>
      <c r="X229" s="47">
        <v>170</v>
      </c>
      <c r="Y229" s="2" t="s">
        <v>837</v>
      </c>
      <c r="AA229" s="28" t="s">
        <v>306</v>
      </c>
      <c r="AB229" s="2" t="s">
        <v>839</v>
      </c>
      <c r="AC229" s="2" t="s">
        <v>683</v>
      </c>
      <c r="AD229" s="2" t="s">
        <v>833</v>
      </c>
      <c r="AE229" s="47" t="s">
        <v>1036</v>
      </c>
      <c r="AF229" s="2" t="s">
        <v>831</v>
      </c>
      <c r="AG229" s="47" t="s">
        <v>936</v>
      </c>
      <c r="AH229" s="2" t="s">
        <v>101</v>
      </c>
      <c r="AI229" s="47" t="s">
        <v>538</v>
      </c>
      <c r="AK229" s="2" t="s">
        <v>101</v>
      </c>
      <c r="AL229" s="1" t="s">
        <v>101</v>
      </c>
      <c r="AM229" s="1">
        <v>44</v>
      </c>
      <c r="AN229" s="36" t="s">
        <v>101</v>
      </c>
      <c r="AO229" s="1">
        <v>21.5</v>
      </c>
      <c r="AP229" s="1">
        <v>48</v>
      </c>
      <c r="AQ229" s="36" t="s">
        <v>101</v>
      </c>
      <c r="AR229" s="1">
        <v>23.3</v>
      </c>
      <c r="AS229" s="1">
        <v>5.8</v>
      </c>
      <c r="AT229" s="2">
        <v>-7</v>
      </c>
      <c r="AU229" s="47">
        <v>-7</v>
      </c>
      <c r="AV229" s="28" t="s">
        <v>101</v>
      </c>
      <c r="AW229" s="2" t="s">
        <v>840</v>
      </c>
      <c r="AX229" s="1">
        <f t="shared" si="52"/>
        <v>-8.3720930232558164</v>
      </c>
      <c r="AY229" s="1"/>
    </row>
    <row r="230" spans="1:51" s="2" customFormat="1" ht="27.75" customHeight="1" x14ac:dyDescent="0.35">
      <c r="A230" s="1">
        <v>51</v>
      </c>
      <c r="B230" s="2" t="s">
        <v>805</v>
      </c>
      <c r="C230" s="2" t="s">
        <v>804</v>
      </c>
      <c r="D230" s="2" t="s">
        <v>430</v>
      </c>
      <c r="E230" s="28" t="s">
        <v>874</v>
      </c>
      <c r="F230" s="2" t="s">
        <v>807</v>
      </c>
      <c r="G230" s="2" t="s">
        <v>808</v>
      </c>
      <c r="H230" s="2">
        <v>20</v>
      </c>
      <c r="I230" s="2">
        <v>340</v>
      </c>
      <c r="J230" s="2" t="s">
        <v>882</v>
      </c>
      <c r="K230" s="1">
        <v>2019</v>
      </c>
      <c r="L230" s="1">
        <v>2020</v>
      </c>
      <c r="M230" s="2" t="s">
        <v>806</v>
      </c>
      <c r="N230" s="47" t="s">
        <v>885</v>
      </c>
      <c r="O230" s="2" t="s">
        <v>824</v>
      </c>
      <c r="P230" s="47" t="s">
        <v>894</v>
      </c>
      <c r="Q230" s="26" t="s">
        <v>93</v>
      </c>
      <c r="R230" s="26">
        <v>7.5</v>
      </c>
      <c r="S230" s="1" t="s">
        <v>101</v>
      </c>
      <c r="T230" s="1" t="s">
        <v>101</v>
      </c>
      <c r="U230" s="1" t="s">
        <v>101</v>
      </c>
      <c r="V230" s="1">
        <v>7.75</v>
      </c>
      <c r="W230" s="2" t="s">
        <v>101</v>
      </c>
      <c r="X230" s="47">
        <v>170</v>
      </c>
      <c r="Y230" s="2" t="s">
        <v>837</v>
      </c>
      <c r="AA230" s="28" t="s">
        <v>306</v>
      </c>
      <c r="AB230" s="2" t="s">
        <v>839</v>
      </c>
      <c r="AC230" s="2" t="s">
        <v>683</v>
      </c>
      <c r="AD230" s="2" t="s">
        <v>834</v>
      </c>
      <c r="AE230" s="47" t="s">
        <v>1036</v>
      </c>
      <c r="AF230" s="2" t="s">
        <v>831</v>
      </c>
      <c r="AG230" s="47" t="s">
        <v>936</v>
      </c>
      <c r="AH230" s="2" t="s">
        <v>836</v>
      </c>
      <c r="AI230" s="47" t="s">
        <v>960</v>
      </c>
      <c r="AK230" s="1" t="s">
        <v>101</v>
      </c>
      <c r="AL230" s="1" t="s">
        <v>101</v>
      </c>
      <c r="AM230" s="1">
        <v>44</v>
      </c>
      <c r="AN230" s="36" t="s">
        <v>101</v>
      </c>
      <c r="AO230" s="1">
        <v>21.5</v>
      </c>
      <c r="AP230" s="1">
        <v>47</v>
      </c>
      <c r="AQ230" s="36" t="s">
        <v>101</v>
      </c>
      <c r="AR230" s="1">
        <v>22.7</v>
      </c>
      <c r="AS230" s="1">
        <v>7</v>
      </c>
      <c r="AT230" s="28">
        <f>(5-31)/2</f>
        <v>-13</v>
      </c>
      <c r="AU230" s="55">
        <v>-13</v>
      </c>
      <c r="AV230" s="28" t="s">
        <v>101</v>
      </c>
      <c r="AW230" s="2" t="s">
        <v>840</v>
      </c>
      <c r="AX230" s="1">
        <f t="shared" si="52"/>
        <v>-5.5813953488372059</v>
      </c>
      <c r="AY230" s="1"/>
    </row>
    <row r="231" spans="1:51" s="2" customFormat="1" ht="27.75" customHeight="1" x14ac:dyDescent="0.35">
      <c r="A231" s="1">
        <v>51</v>
      </c>
      <c r="B231" s="2" t="s">
        <v>805</v>
      </c>
      <c r="C231" s="2" t="s">
        <v>804</v>
      </c>
      <c r="D231" s="2" t="s">
        <v>430</v>
      </c>
      <c r="E231" s="28" t="s">
        <v>874</v>
      </c>
      <c r="F231" s="2" t="s">
        <v>809</v>
      </c>
      <c r="G231" s="2" t="s">
        <v>810</v>
      </c>
      <c r="H231" s="2">
        <v>20</v>
      </c>
      <c r="I231" s="2">
        <v>270</v>
      </c>
      <c r="J231" s="2" t="s">
        <v>882</v>
      </c>
      <c r="K231" s="1">
        <v>2019</v>
      </c>
      <c r="L231" s="1">
        <v>2020</v>
      </c>
      <c r="M231" s="2" t="s">
        <v>806</v>
      </c>
      <c r="N231" s="47" t="s">
        <v>885</v>
      </c>
      <c r="O231" s="2" t="s">
        <v>823</v>
      </c>
      <c r="P231" s="47" t="s">
        <v>534</v>
      </c>
      <c r="Q231" s="26" t="s">
        <v>93</v>
      </c>
      <c r="R231" s="26">
        <v>5.7</v>
      </c>
      <c r="S231" s="1" t="s">
        <v>101</v>
      </c>
      <c r="T231" s="1" t="s">
        <v>101</v>
      </c>
      <c r="U231" s="1" t="s">
        <v>101</v>
      </c>
      <c r="V231" s="1">
        <v>6.85</v>
      </c>
      <c r="W231" s="2" t="s">
        <v>101</v>
      </c>
      <c r="X231" s="47">
        <v>170</v>
      </c>
      <c r="Y231" s="15" t="s">
        <v>838</v>
      </c>
      <c r="Z231" s="15"/>
      <c r="AA231" s="28" t="s">
        <v>306</v>
      </c>
      <c r="AB231" s="2" t="s">
        <v>839</v>
      </c>
      <c r="AC231" s="2" t="s">
        <v>683</v>
      </c>
      <c r="AD231" s="2" t="s">
        <v>826</v>
      </c>
      <c r="AE231" s="47" t="s">
        <v>936</v>
      </c>
      <c r="AF231" s="2" t="s">
        <v>825</v>
      </c>
      <c r="AG231" s="47" t="s">
        <v>936</v>
      </c>
      <c r="AH231" s="2" t="s">
        <v>827</v>
      </c>
      <c r="AI231" s="47" t="s">
        <v>924</v>
      </c>
      <c r="AK231" s="1">
        <v>5.9</v>
      </c>
      <c r="AL231" s="1" t="s">
        <v>101</v>
      </c>
      <c r="AM231" s="1">
        <v>40</v>
      </c>
      <c r="AN231" s="36" t="s">
        <v>101</v>
      </c>
      <c r="AO231" s="1">
        <v>19.100000000000001</v>
      </c>
      <c r="AP231" s="1">
        <v>5</v>
      </c>
      <c r="AQ231" s="36" t="s">
        <v>101</v>
      </c>
      <c r="AR231" s="1">
        <v>2.7</v>
      </c>
      <c r="AS231" s="1">
        <v>6.4</v>
      </c>
      <c r="AT231" s="2">
        <f>(46+117)/2</f>
        <v>81.5</v>
      </c>
      <c r="AU231" s="47">
        <v>81.5</v>
      </c>
      <c r="AV231" s="28" t="s">
        <v>101</v>
      </c>
      <c r="AW231" s="2" t="s">
        <v>840</v>
      </c>
      <c r="AX231" s="1">
        <f t="shared" si="52"/>
        <v>85.863874345549746</v>
      </c>
      <c r="AY231" s="1"/>
    </row>
    <row r="232" spans="1:51" s="2" customFormat="1" ht="27.75" customHeight="1" x14ac:dyDescent="0.35">
      <c r="A232" s="1">
        <v>51</v>
      </c>
      <c r="B232" s="2" t="s">
        <v>805</v>
      </c>
      <c r="C232" s="2" t="s">
        <v>804</v>
      </c>
      <c r="D232" s="2" t="s">
        <v>430</v>
      </c>
      <c r="E232" s="28" t="s">
        <v>874</v>
      </c>
      <c r="F232" s="2" t="s">
        <v>809</v>
      </c>
      <c r="G232" s="2" t="s">
        <v>810</v>
      </c>
      <c r="H232" s="2">
        <v>20</v>
      </c>
      <c r="I232" s="2">
        <v>270</v>
      </c>
      <c r="J232" s="2" t="s">
        <v>882</v>
      </c>
      <c r="K232" s="1">
        <v>2019</v>
      </c>
      <c r="L232" s="1">
        <v>2020</v>
      </c>
      <c r="M232" s="2" t="s">
        <v>806</v>
      </c>
      <c r="N232" s="47" t="s">
        <v>885</v>
      </c>
      <c r="O232" s="2" t="s">
        <v>823</v>
      </c>
      <c r="P232" s="47" t="s">
        <v>534</v>
      </c>
      <c r="Q232" s="26" t="s">
        <v>93</v>
      </c>
      <c r="R232" s="26">
        <v>5.7</v>
      </c>
      <c r="S232" s="1" t="s">
        <v>101</v>
      </c>
      <c r="T232" s="1" t="s">
        <v>101</v>
      </c>
      <c r="U232" s="1" t="s">
        <v>101</v>
      </c>
      <c r="V232" s="1">
        <v>6.85</v>
      </c>
      <c r="W232" s="2" t="s">
        <v>101</v>
      </c>
      <c r="X232" s="47">
        <v>170</v>
      </c>
      <c r="Y232" s="15" t="s">
        <v>838</v>
      </c>
      <c r="Z232" s="15"/>
      <c r="AA232" s="28" t="s">
        <v>306</v>
      </c>
      <c r="AB232" s="2" t="s">
        <v>839</v>
      </c>
      <c r="AC232" s="2" t="s">
        <v>683</v>
      </c>
      <c r="AD232" s="2" t="s">
        <v>828</v>
      </c>
      <c r="AE232" s="47" t="s">
        <v>1036</v>
      </c>
      <c r="AF232" s="2" t="s">
        <v>825</v>
      </c>
      <c r="AG232" s="47" t="s">
        <v>936</v>
      </c>
      <c r="AH232" s="2" t="s">
        <v>101</v>
      </c>
      <c r="AI232" s="47" t="s">
        <v>914</v>
      </c>
      <c r="AK232" s="2" t="s">
        <v>101</v>
      </c>
      <c r="AL232" s="1" t="s">
        <v>101</v>
      </c>
      <c r="AM232" s="1">
        <v>40</v>
      </c>
      <c r="AN232" s="36" t="s">
        <v>101</v>
      </c>
      <c r="AO232" s="1">
        <v>19.100000000000001</v>
      </c>
      <c r="AP232" s="1">
        <v>32</v>
      </c>
      <c r="AQ232" s="36" t="s">
        <v>101</v>
      </c>
      <c r="AR232" s="1">
        <v>15.5</v>
      </c>
      <c r="AS232" s="1">
        <v>3.6</v>
      </c>
      <c r="AT232" s="2">
        <f>(18+20)/2</f>
        <v>19</v>
      </c>
      <c r="AU232" s="47">
        <v>19</v>
      </c>
      <c r="AV232" s="28" t="s">
        <v>101</v>
      </c>
      <c r="AW232" s="2" t="s">
        <v>840</v>
      </c>
      <c r="AX232" s="1">
        <f t="shared" si="52"/>
        <v>18.84816753926702</v>
      </c>
      <c r="AY232" s="1"/>
    </row>
    <row r="233" spans="1:51" s="2" customFormat="1" ht="27.75" customHeight="1" x14ac:dyDescent="0.35">
      <c r="A233" s="1">
        <v>51</v>
      </c>
      <c r="B233" s="2" t="s">
        <v>805</v>
      </c>
      <c r="C233" s="2" t="s">
        <v>804</v>
      </c>
      <c r="D233" s="2" t="s">
        <v>430</v>
      </c>
      <c r="E233" s="28" t="s">
        <v>874</v>
      </c>
      <c r="F233" s="2" t="s">
        <v>809</v>
      </c>
      <c r="G233" s="2" t="s">
        <v>810</v>
      </c>
      <c r="H233" s="2">
        <v>20</v>
      </c>
      <c r="I233" s="2">
        <v>270</v>
      </c>
      <c r="J233" s="2" t="s">
        <v>882</v>
      </c>
      <c r="K233" s="1">
        <v>2019</v>
      </c>
      <c r="L233" s="1">
        <v>2020</v>
      </c>
      <c r="M233" s="2" t="s">
        <v>806</v>
      </c>
      <c r="N233" s="47" t="s">
        <v>885</v>
      </c>
      <c r="O233" s="2" t="s">
        <v>823</v>
      </c>
      <c r="P233" s="47" t="s">
        <v>534</v>
      </c>
      <c r="Q233" s="26" t="s">
        <v>93</v>
      </c>
      <c r="R233" s="26">
        <v>5.7</v>
      </c>
      <c r="S233" s="1" t="s">
        <v>101</v>
      </c>
      <c r="T233" s="1" t="s">
        <v>101</v>
      </c>
      <c r="U233" s="1" t="s">
        <v>101</v>
      </c>
      <c r="V233" s="1">
        <v>6.85</v>
      </c>
      <c r="W233" s="2" t="s">
        <v>101</v>
      </c>
      <c r="X233" s="47">
        <v>170</v>
      </c>
      <c r="Y233" s="15" t="s">
        <v>838</v>
      </c>
      <c r="Z233" s="15"/>
      <c r="AA233" s="28" t="s">
        <v>306</v>
      </c>
      <c r="AB233" s="2" t="s">
        <v>839</v>
      </c>
      <c r="AC233" s="2" t="s">
        <v>683</v>
      </c>
      <c r="AD233" s="2" t="s">
        <v>829</v>
      </c>
      <c r="AE233" s="47" t="s">
        <v>1036</v>
      </c>
      <c r="AF233" s="2" t="s">
        <v>825</v>
      </c>
      <c r="AG233" s="47" t="s">
        <v>936</v>
      </c>
      <c r="AH233" s="2" t="s">
        <v>830</v>
      </c>
      <c r="AI233" s="47" t="s">
        <v>937</v>
      </c>
      <c r="AK233" s="2" t="s">
        <v>101</v>
      </c>
      <c r="AL233" s="1" t="s">
        <v>101</v>
      </c>
      <c r="AM233" s="1">
        <v>40</v>
      </c>
      <c r="AN233" s="36" t="s">
        <v>101</v>
      </c>
      <c r="AO233" s="1">
        <v>19.100000000000001</v>
      </c>
      <c r="AP233" s="1">
        <v>28</v>
      </c>
      <c r="AQ233" s="36" t="s">
        <v>101</v>
      </c>
      <c r="AR233" s="1">
        <v>13.3</v>
      </c>
      <c r="AS233" s="1">
        <v>6.1</v>
      </c>
      <c r="AT233" s="2">
        <f>(29+32)/2</f>
        <v>30.5</v>
      </c>
      <c r="AU233" s="47">
        <v>30.5</v>
      </c>
      <c r="AV233" s="28" t="s">
        <v>101</v>
      </c>
      <c r="AW233" s="2" t="s">
        <v>840</v>
      </c>
      <c r="AX233" s="1">
        <f t="shared" si="52"/>
        <v>30.366492146596858</v>
      </c>
      <c r="AY233" s="1"/>
    </row>
    <row r="234" spans="1:51" s="2" customFormat="1" ht="27.75" customHeight="1" x14ac:dyDescent="0.35">
      <c r="A234" s="1">
        <v>51</v>
      </c>
      <c r="B234" s="2" t="s">
        <v>805</v>
      </c>
      <c r="C234" s="2" t="s">
        <v>804</v>
      </c>
      <c r="D234" s="2" t="s">
        <v>430</v>
      </c>
      <c r="E234" s="28" t="s">
        <v>874</v>
      </c>
      <c r="F234" s="2" t="s">
        <v>809</v>
      </c>
      <c r="G234" s="2" t="s">
        <v>810</v>
      </c>
      <c r="H234" s="2">
        <v>20</v>
      </c>
      <c r="I234" s="2">
        <v>270</v>
      </c>
      <c r="J234" s="2" t="s">
        <v>882</v>
      </c>
      <c r="K234" s="1">
        <v>2019</v>
      </c>
      <c r="L234" s="1">
        <v>2020</v>
      </c>
      <c r="M234" s="2" t="s">
        <v>806</v>
      </c>
      <c r="N234" s="47" t="s">
        <v>885</v>
      </c>
      <c r="O234" s="2" t="s">
        <v>824</v>
      </c>
      <c r="P234" s="47" t="s">
        <v>894</v>
      </c>
      <c r="Q234" s="26" t="s">
        <v>93</v>
      </c>
      <c r="R234" s="26">
        <v>8.0500000000000007</v>
      </c>
      <c r="S234" s="1" t="s">
        <v>101</v>
      </c>
      <c r="T234" s="1" t="s">
        <v>101</v>
      </c>
      <c r="U234" s="1" t="s">
        <v>101</v>
      </c>
      <c r="V234" s="1">
        <v>7.7</v>
      </c>
      <c r="W234" s="2" t="s">
        <v>101</v>
      </c>
      <c r="X234" s="47">
        <v>170</v>
      </c>
      <c r="Y234" s="15" t="s">
        <v>838</v>
      </c>
      <c r="Z234" s="15"/>
      <c r="AA234" s="28" t="s">
        <v>306</v>
      </c>
      <c r="AB234" s="2" t="s">
        <v>839</v>
      </c>
      <c r="AC234" s="2" t="s">
        <v>683</v>
      </c>
      <c r="AD234" s="2" t="s">
        <v>832</v>
      </c>
      <c r="AE234" s="47" t="s">
        <v>936</v>
      </c>
      <c r="AF234" s="2" t="s">
        <v>831</v>
      </c>
      <c r="AG234" s="47" t="s">
        <v>936</v>
      </c>
      <c r="AH234" s="2" t="s">
        <v>835</v>
      </c>
      <c r="AI234" s="47" t="s">
        <v>959</v>
      </c>
      <c r="AK234" s="1">
        <v>6.1</v>
      </c>
      <c r="AL234" s="1" t="s">
        <v>101</v>
      </c>
      <c r="AM234" s="1">
        <v>100</v>
      </c>
      <c r="AN234" s="36" t="s">
        <v>101</v>
      </c>
      <c r="AO234" s="1">
        <v>46.7</v>
      </c>
      <c r="AP234" s="1">
        <f>14+8</f>
        <v>22</v>
      </c>
      <c r="AQ234" s="36" t="s">
        <v>101</v>
      </c>
      <c r="AR234" s="1">
        <v>9.6999999999999993</v>
      </c>
      <c r="AS234" s="1">
        <v>1.7</v>
      </c>
      <c r="AT234" s="2">
        <f>(90+43)/2</f>
        <v>66.5</v>
      </c>
      <c r="AU234" s="47">
        <v>66.5</v>
      </c>
      <c r="AV234" s="28" t="s">
        <v>101</v>
      </c>
      <c r="AW234" s="2" t="s">
        <v>840</v>
      </c>
      <c r="AX234" s="1">
        <f t="shared" si="52"/>
        <v>79.229122055674523</v>
      </c>
      <c r="AY234" s="1"/>
    </row>
    <row r="235" spans="1:51" s="2" customFormat="1" ht="27.75" customHeight="1" x14ac:dyDescent="0.35">
      <c r="A235" s="1">
        <v>51</v>
      </c>
      <c r="B235" s="2" t="s">
        <v>805</v>
      </c>
      <c r="C235" s="2" t="s">
        <v>804</v>
      </c>
      <c r="D235" s="2" t="s">
        <v>430</v>
      </c>
      <c r="E235" s="28" t="s">
        <v>874</v>
      </c>
      <c r="F235" s="2" t="s">
        <v>809</v>
      </c>
      <c r="G235" s="2" t="s">
        <v>810</v>
      </c>
      <c r="H235" s="2">
        <v>20</v>
      </c>
      <c r="I235" s="2">
        <v>270</v>
      </c>
      <c r="J235" s="2" t="s">
        <v>882</v>
      </c>
      <c r="K235" s="1">
        <v>2019</v>
      </c>
      <c r="L235" s="1">
        <v>2020</v>
      </c>
      <c r="M235" s="2" t="s">
        <v>806</v>
      </c>
      <c r="N235" s="47" t="s">
        <v>885</v>
      </c>
      <c r="O235" s="2" t="s">
        <v>824</v>
      </c>
      <c r="P235" s="47" t="s">
        <v>894</v>
      </c>
      <c r="Q235" s="26" t="s">
        <v>93</v>
      </c>
      <c r="R235" s="26">
        <v>8.0500000000000007</v>
      </c>
      <c r="S235" s="1" t="s">
        <v>101</v>
      </c>
      <c r="T235" s="1" t="s">
        <v>101</v>
      </c>
      <c r="U235" s="1" t="s">
        <v>101</v>
      </c>
      <c r="V235" s="1">
        <v>7.7</v>
      </c>
      <c r="W235" s="2" t="s">
        <v>101</v>
      </c>
      <c r="X235" s="47">
        <v>170</v>
      </c>
      <c r="Y235" s="15" t="s">
        <v>838</v>
      </c>
      <c r="Z235" s="15"/>
      <c r="AA235" s="28" t="s">
        <v>306</v>
      </c>
      <c r="AB235" s="2" t="s">
        <v>839</v>
      </c>
      <c r="AC235" s="2" t="s">
        <v>683</v>
      </c>
      <c r="AD235" s="2" t="s">
        <v>833</v>
      </c>
      <c r="AE235" s="47" t="s">
        <v>1036</v>
      </c>
      <c r="AF235" s="2" t="s">
        <v>831</v>
      </c>
      <c r="AG235" s="47" t="s">
        <v>936</v>
      </c>
      <c r="AH235" s="2" t="s">
        <v>101</v>
      </c>
      <c r="AI235" s="47" t="s">
        <v>538</v>
      </c>
      <c r="AK235" s="1" t="s">
        <v>101</v>
      </c>
      <c r="AL235" s="1" t="s">
        <v>101</v>
      </c>
      <c r="AM235" s="1">
        <v>100</v>
      </c>
      <c r="AN235" s="36" t="s">
        <v>101</v>
      </c>
      <c r="AO235" s="1">
        <v>46.7</v>
      </c>
      <c r="AP235" s="1">
        <f>60+30</f>
        <v>90</v>
      </c>
      <c r="AQ235" s="36" t="s">
        <v>101</v>
      </c>
      <c r="AR235" s="1">
        <v>41.8</v>
      </c>
      <c r="AS235" s="1">
        <v>10.199999999999999</v>
      </c>
      <c r="AT235" s="2">
        <f>(22-28)/2</f>
        <v>-3</v>
      </c>
      <c r="AU235" s="47">
        <v>-3</v>
      </c>
      <c r="AV235" s="28" t="s">
        <v>101</v>
      </c>
      <c r="AW235" s="2" t="s">
        <v>840</v>
      </c>
      <c r="AX235" s="1">
        <f t="shared" si="52"/>
        <v>10.49250535331907</v>
      </c>
      <c r="AY235" s="1"/>
    </row>
    <row r="236" spans="1:51" s="2" customFormat="1" ht="27.75" customHeight="1" x14ac:dyDescent="0.35">
      <c r="A236" s="1">
        <v>51</v>
      </c>
      <c r="B236" s="2" t="s">
        <v>805</v>
      </c>
      <c r="C236" s="2" t="s">
        <v>804</v>
      </c>
      <c r="D236" s="2" t="s">
        <v>430</v>
      </c>
      <c r="E236" s="28" t="s">
        <v>874</v>
      </c>
      <c r="F236" s="2" t="s">
        <v>809</v>
      </c>
      <c r="G236" s="2" t="s">
        <v>810</v>
      </c>
      <c r="H236" s="2">
        <v>20</v>
      </c>
      <c r="I236" s="2">
        <v>270</v>
      </c>
      <c r="J236" s="2" t="s">
        <v>882</v>
      </c>
      <c r="K236" s="1">
        <v>2019</v>
      </c>
      <c r="L236" s="1">
        <v>2020</v>
      </c>
      <c r="M236" s="2" t="s">
        <v>806</v>
      </c>
      <c r="N236" s="47" t="s">
        <v>885</v>
      </c>
      <c r="O236" s="2" t="s">
        <v>824</v>
      </c>
      <c r="P236" s="47" t="s">
        <v>894</v>
      </c>
      <c r="Q236" s="26" t="s">
        <v>93</v>
      </c>
      <c r="R236" s="26">
        <v>8.0500000000000007</v>
      </c>
      <c r="S236" s="1" t="s">
        <v>101</v>
      </c>
      <c r="T236" s="1" t="s">
        <v>101</v>
      </c>
      <c r="U236" s="1" t="s">
        <v>101</v>
      </c>
      <c r="V236" s="1">
        <v>7.7</v>
      </c>
      <c r="W236" s="2" t="s">
        <v>101</v>
      </c>
      <c r="X236" s="47">
        <v>170</v>
      </c>
      <c r="Y236" s="15" t="s">
        <v>838</v>
      </c>
      <c r="Z236" s="15"/>
      <c r="AA236" s="28" t="s">
        <v>306</v>
      </c>
      <c r="AB236" s="2" t="s">
        <v>839</v>
      </c>
      <c r="AC236" s="2" t="s">
        <v>683</v>
      </c>
      <c r="AD236" s="2" t="s">
        <v>834</v>
      </c>
      <c r="AE236" s="47" t="s">
        <v>1036</v>
      </c>
      <c r="AF236" s="2" t="s">
        <v>831</v>
      </c>
      <c r="AG236" s="47" t="s">
        <v>936</v>
      </c>
      <c r="AH236" s="2" t="s">
        <v>836</v>
      </c>
      <c r="AI236" s="47" t="s">
        <v>960</v>
      </c>
      <c r="AK236" s="1" t="s">
        <v>101</v>
      </c>
      <c r="AL236" s="1" t="s">
        <v>101</v>
      </c>
      <c r="AM236" s="1">
        <v>100</v>
      </c>
      <c r="AN236" s="36" t="s">
        <v>101</v>
      </c>
      <c r="AO236" s="1">
        <v>46.7</v>
      </c>
      <c r="AP236" s="1">
        <f>39+34</f>
        <v>73</v>
      </c>
      <c r="AQ236" s="36" t="s">
        <v>101</v>
      </c>
      <c r="AR236" s="1">
        <v>33.700000000000003</v>
      </c>
      <c r="AS236" s="1">
        <v>4.5</v>
      </c>
      <c r="AT236" s="2">
        <f>(50-44)/2</f>
        <v>3</v>
      </c>
      <c r="AU236" s="47">
        <v>3</v>
      </c>
      <c r="AV236" s="28" t="s">
        <v>101</v>
      </c>
      <c r="AW236" s="2" t="s">
        <v>840</v>
      </c>
      <c r="AX236" s="1">
        <f t="shared" si="52"/>
        <v>27.837259100642399</v>
      </c>
      <c r="AY236" s="1"/>
    </row>
    <row r="237" spans="1:51" s="2" customFormat="1" ht="27.75" customHeight="1" x14ac:dyDescent="0.35">
      <c r="A237" s="1">
        <v>51</v>
      </c>
      <c r="B237" s="2" t="s">
        <v>805</v>
      </c>
      <c r="C237" s="2" t="s">
        <v>804</v>
      </c>
      <c r="D237" s="2" t="s">
        <v>430</v>
      </c>
      <c r="E237" s="28" t="s">
        <v>874</v>
      </c>
      <c r="F237" s="2" t="s">
        <v>813</v>
      </c>
      <c r="G237" s="2" t="s">
        <v>811</v>
      </c>
      <c r="H237" s="2">
        <v>690</v>
      </c>
      <c r="I237" s="2">
        <v>120</v>
      </c>
      <c r="J237" s="2" t="s">
        <v>880</v>
      </c>
      <c r="K237" s="1">
        <v>2019</v>
      </c>
      <c r="L237" s="1">
        <v>2020</v>
      </c>
      <c r="M237" s="2" t="s">
        <v>806</v>
      </c>
      <c r="N237" s="47" t="s">
        <v>885</v>
      </c>
      <c r="O237" s="2" t="s">
        <v>823</v>
      </c>
      <c r="P237" s="47" t="s">
        <v>534</v>
      </c>
      <c r="Q237" s="26" t="s">
        <v>93</v>
      </c>
      <c r="R237" s="26">
        <v>9.25</v>
      </c>
      <c r="S237" s="1" t="s">
        <v>101</v>
      </c>
      <c r="T237" s="1" t="s">
        <v>101</v>
      </c>
      <c r="U237" s="1" t="s">
        <v>101</v>
      </c>
      <c r="V237" s="1">
        <v>7</v>
      </c>
      <c r="W237" s="2" t="s">
        <v>101</v>
      </c>
      <c r="X237" s="47">
        <v>170</v>
      </c>
      <c r="Y237" s="2" t="s">
        <v>837</v>
      </c>
      <c r="AA237" s="28" t="s">
        <v>306</v>
      </c>
      <c r="AB237" s="2" t="s">
        <v>839</v>
      </c>
      <c r="AC237" s="2" t="s">
        <v>683</v>
      </c>
      <c r="AD237" s="2" t="s">
        <v>826</v>
      </c>
      <c r="AE237" s="47" t="s">
        <v>936</v>
      </c>
      <c r="AF237" s="2" t="s">
        <v>825</v>
      </c>
      <c r="AG237" s="47" t="s">
        <v>936</v>
      </c>
      <c r="AH237" s="2" t="s">
        <v>827</v>
      </c>
      <c r="AI237" s="47" t="s">
        <v>924</v>
      </c>
      <c r="AK237" s="1">
        <v>6</v>
      </c>
      <c r="AL237" s="1" t="s">
        <v>101</v>
      </c>
      <c r="AM237" s="1">
        <v>27</v>
      </c>
      <c r="AN237" s="36" t="s">
        <v>101</v>
      </c>
      <c r="AO237" s="1">
        <v>11</v>
      </c>
      <c r="AP237" s="1">
        <v>3</v>
      </c>
      <c r="AQ237" s="36" t="s">
        <v>101</v>
      </c>
      <c r="AR237" s="1">
        <v>1</v>
      </c>
      <c r="AS237" s="1">
        <v>1.9</v>
      </c>
      <c r="AT237" s="2">
        <f>(86+95)/2</f>
        <v>90.5</v>
      </c>
      <c r="AU237" s="47">
        <v>90.5</v>
      </c>
      <c r="AV237" s="28" t="s">
        <v>101</v>
      </c>
      <c r="AW237" s="2" t="s">
        <v>840</v>
      </c>
      <c r="AX237" s="1">
        <f t="shared" si="52"/>
        <v>90.909090909090907</v>
      </c>
      <c r="AY237" s="1"/>
    </row>
    <row r="238" spans="1:51" s="2" customFormat="1" ht="27.75" customHeight="1" x14ac:dyDescent="0.35">
      <c r="A238" s="1">
        <v>51</v>
      </c>
      <c r="B238" s="2" t="s">
        <v>805</v>
      </c>
      <c r="C238" s="2" t="s">
        <v>804</v>
      </c>
      <c r="D238" s="2" t="s">
        <v>430</v>
      </c>
      <c r="E238" s="28" t="s">
        <v>874</v>
      </c>
      <c r="F238" s="2" t="s">
        <v>813</v>
      </c>
      <c r="G238" s="2" t="s">
        <v>811</v>
      </c>
      <c r="H238" s="2">
        <v>690</v>
      </c>
      <c r="I238" s="2">
        <v>120</v>
      </c>
      <c r="J238" s="2" t="s">
        <v>880</v>
      </c>
      <c r="K238" s="1">
        <v>2019</v>
      </c>
      <c r="L238" s="1">
        <v>2020</v>
      </c>
      <c r="M238" s="2" t="s">
        <v>806</v>
      </c>
      <c r="N238" s="47" t="s">
        <v>885</v>
      </c>
      <c r="O238" s="2" t="s">
        <v>823</v>
      </c>
      <c r="P238" s="47" t="s">
        <v>534</v>
      </c>
      <c r="Q238" s="26" t="s">
        <v>93</v>
      </c>
      <c r="R238" s="26">
        <v>9.25</v>
      </c>
      <c r="S238" s="1" t="s">
        <v>101</v>
      </c>
      <c r="T238" s="1" t="s">
        <v>101</v>
      </c>
      <c r="U238" s="1" t="s">
        <v>101</v>
      </c>
      <c r="V238" s="1">
        <v>7</v>
      </c>
      <c r="W238" s="2" t="s">
        <v>101</v>
      </c>
      <c r="X238" s="47">
        <v>170</v>
      </c>
      <c r="Y238" s="2" t="s">
        <v>837</v>
      </c>
      <c r="AA238" s="28" t="s">
        <v>306</v>
      </c>
      <c r="AB238" s="2" t="s">
        <v>839</v>
      </c>
      <c r="AC238" s="2" t="s">
        <v>683</v>
      </c>
      <c r="AD238" s="2" t="s">
        <v>828</v>
      </c>
      <c r="AE238" s="47" t="s">
        <v>1036</v>
      </c>
      <c r="AF238" s="2" t="s">
        <v>825</v>
      </c>
      <c r="AG238" s="47" t="s">
        <v>936</v>
      </c>
      <c r="AH238" s="2" t="s">
        <v>101</v>
      </c>
      <c r="AI238" s="47" t="s">
        <v>914</v>
      </c>
      <c r="AK238" s="1" t="s">
        <v>101</v>
      </c>
      <c r="AL238" s="1" t="s">
        <v>101</v>
      </c>
      <c r="AM238" s="1">
        <v>27</v>
      </c>
      <c r="AN238" s="36" t="s">
        <v>101</v>
      </c>
      <c r="AO238" s="1">
        <v>11</v>
      </c>
      <c r="AP238" s="1">
        <v>11</v>
      </c>
      <c r="AQ238" s="36" t="s">
        <v>101</v>
      </c>
      <c r="AR238" s="1">
        <v>4.5</v>
      </c>
      <c r="AS238" s="1">
        <v>1.5</v>
      </c>
      <c r="AT238" s="2">
        <f>(58+60)/2</f>
        <v>59</v>
      </c>
      <c r="AU238" s="47">
        <v>59</v>
      </c>
      <c r="AV238" s="28" t="s">
        <v>101</v>
      </c>
      <c r="AW238" s="2" t="s">
        <v>840</v>
      </c>
      <c r="AX238" s="1">
        <f t="shared" si="52"/>
        <v>59.090909090909093</v>
      </c>
      <c r="AY238" s="1"/>
    </row>
    <row r="239" spans="1:51" s="2" customFormat="1" ht="27.75" customHeight="1" x14ac:dyDescent="0.35">
      <c r="A239" s="1">
        <v>51</v>
      </c>
      <c r="B239" s="2" t="s">
        <v>805</v>
      </c>
      <c r="C239" s="2" t="s">
        <v>804</v>
      </c>
      <c r="D239" s="2" t="s">
        <v>430</v>
      </c>
      <c r="E239" s="28" t="s">
        <v>874</v>
      </c>
      <c r="F239" s="2" t="s">
        <v>813</v>
      </c>
      <c r="G239" s="2" t="s">
        <v>811</v>
      </c>
      <c r="H239" s="2">
        <v>690</v>
      </c>
      <c r="I239" s="2">
        <v>120</v>
      </c>
      <c r="J239" s="2" t="s">
        <v>880</v>
      </c>
      <c r="K239" s="1">
        <v>2019</v>
      </c>
      <c r="L239" s="1">
        <v>2020</v>
      </c>
      <c r="M239" s="2" t="s">
        <v>806</v>
      </c>
      <c r="N239" s="47" t="s">
        <v>885</v>
      </c>
      <c r="O239" s="2" t="s">
        <v>823</v>
      </c>
      <c r="P239" s="47" t="s">
        <v>534</v>
      </c>
      <c r="Q239" s="26" t="s">
        <v>93</v>
      </c>
      <c r="R239" s="26">
        <v>9.25</v>
      </c>
      <c r="S239" s="1" t="s">
        <v>101</v>
      </c>
      <c r="T239" s="1" t="s">
        <v>101</v>
      </c>
      <c r="U239" s="1" t="s">
        <v>101</v>
      </c>
      <c r="V239" s="1">
        <v>7</v>
      </c>
      <c r="W239" s="2" t="s">
        <v>101</v>
      </c>
      <c r="X239" s="47">
        <v>170</v>
      </c>
      <c r="Y239" s="2" t="s">
        <v>837</v>
      </c>
      <c r="AA239" s="28" t="s">
        <v>306</v>
      </c>
      <c r="AB239" s="2" t="s">
        <v>839</v>
      </c>
      <c r="AC239" s="2" t="s">
        <v>683</v>
      </c>
      <c r="AD239" s="2" t="s">
        <v>829</v>
      </c>
      <c r="AE239" s="47" t="s">
        <v>1036</v>
      </c>
      <c r="AF239" s="2" t="s">
        <v>825</v>
      </c>
      <c r="AG239" s="47" t="s">
        <v>936</v>
      </c>
      <c r="AH239" s="2" t="s">
        <v>830</v>
      </c>
      <c r="AI239" s="47" t="s">
        <v>937</v>
      </c>
      <c r="AK239" s="1" t="s">
        <v>101</v>
      </c>
      <c r="AL239" s="1" t="s">
        <v>101</v>
      </c>
      <c r="AM239" s="1">
        <v>27</v>
      </c>
      <c r="AN239" s="36" t="s">
        <v>101</v>
      </c>
      <c r="AO239" s="1">
        <v>11</v>
      </c>
      <c r="AP239" s="1">
        <v>11</v>
      </c>
      <c r="AQ239" s="36" t="s">
        <v>101</v>
      </c>
      <c r="AR239" s="1">
        <v>4.4000000000000004</v>
      </c>
      <c r="AS239" s="1">
        <v>1.3</v>
      </c>
      <c r="AT239" s="2">
        <f>(51+69)/2</f>
        <v>60</v>
      </c>
      <c r="AU239" s="47">
        <v>60</v>
      </c>
      <c r="AV239" s="28" t="s">
        <v>101</v>
      </c>
      <c r="AW239" s="2" t="s">
        <v>840</v>
      </c>
      <c r="AX239" s="1">
        <f t="shared" si="52"/>
        <v>60</v>
      </c>
      <c r="AY239" s="1"/>
    </row>
    <row r="240" spans="1:51" s="2" customFormat="1" ht="27.75" customHeight="1" x14ac:dyDescent="0.35">
      <c r="A240" s="1">
        <v>51</v>
      </c>
      <c r="B240" s="2" t="s">
        <v>805</v>
      </c>
      <c r="C240" s="2" t="s">
        <v>804</v>
      </c>
      <c r="D240" s="2" t="s">
        <v>430</v>
      </c>
      <c r="E240" s="28" t="s">
        <v>874</v>
      </c>
      <c r="F240" s="2" t="s">
        <v>813</v>
      </c>
      <c r="G240" s="2" t="s">
        <v>811</v>
      </c>
      <c r="H240" s="2">
        <v>690</v>
      </c>
      <c r="I240" s="2">
        <v>120</v>
      </c>
      <c r="J240" s="2" t="s">
        <v>880</v>
      </c>
      <c r="K240" s="1">
        <v>2019</v>
      </c>
      <c r="L240" s="1">
        <v>2020</v>
      </c>
      <c r="M240" s="2" t="s">
        <v>806</v>
      </c>
      <c r="N240" s="47" t="s">
        <v>885</v>
      </c>
      <c r="O240" s="2" t="s">
        <v>824</v>
      </c>
      <c r="P240" s="47" t="s">
        <v>894</v>
      </c>
      <c r="Q240" s="26" t="s">
        <v>93</v>
      </c>
      <c r="R240" s="26">
        <v>7.05</v>
      </c>
      <c r="S240" s="1" t="s">
        <v>101</v>
      </c>
      <c r="T240" s="1" t="s">
        <v>101</v>
      </c>
      <c r="U240" s="1" t="s">
        <v>101</v>
      </c>
      <c r="V240" s="1">
        <v>7.55</v>
      </c>
      <c r="W240" s="2" t="s">
        <v>101</v>
      </c>
      <c r="X240" s="47">
        <v>170</v>
      </c>
      <c r="Y240" s="2" t="s">
        <v>837</v>
      </c>
      <c r="AA240" s="28" t="s">
        <v>306</v>
      </c>
      <c r="AB240" s="2" t="s">
        <v>839</v>
      </c>
      <c r="AC240" s="2" t="s">
        <v>683</v>
      </c>
      <c r="AD240" s="2" t="s">
        <v>832</v>
      </c>
      <c r="AE240" s="47" t="s">
        <v>936</v>
      </c>
      <c r="AF240" s="2" t="s">
        <v>831</v>
      </c>
      <c r="AG240" s="47" t="s">
        <v>936</v>
      </c>
      <c r="AH240" s="2" t="s">
        <v>835</v>
      </c>
      <c r="AI240" s="47" t="s">
        <v>959</v>
      </c>
      <c r="AK240" s="1">
        <v>6.3</v>
      </c>
      <c r="AL240" s="1" t="s">
        <v>101</v>
      </c>
      <c r="AM240" s="1">
        <v>35</v>
      </c>
      <c r="AN240" s="36" t="s">
        <v>101</v>
      </c>
      <c r="AO240" s="1">
        <v>15.9</v>
      </c>
      <c r="AP240" s="1">
        <v>0.01</v>
      </c>
      <c r="AQ240" s="36" t="s">
        <v>101</v>
      </c>
      <c r="AR240" s="36">
        <v>-0.2</v>
      </c>
      <c r="AS240" s="1">
        <v>1.8</v>
      </c>
      <c r="AT240" s="28">
        <f>(95+113)/2</f>
        <v>104</v>
      </c>
      <c r="AU240" s="55">
        <v>104</v>
      </c>
      <c r="AV240" s="28" t="s">
        <v>101</v>
      </c>
      <c r="AW240" s="2" t="s">
        <v>840</v>
      </c>
      <c r="AX240" s="1">
        <f t="shared" si="52"/>
        <v>101.25786163522012</v>
      </c>
      <c r="AY240" s="1"/>
    </row>
    <row r="241" spans="1:51" s="2" customFormat="1" ht="27.75" customHeight="1" x14ac:dyDescent="0.35">
      <c r="A241" s="1">
        <v>51</v>
      </c>
      <c r="B241" s="2" t="s">
        <v>805</v>
      </c>
      <c r="C241" s="2" t="s">
        <v>804</v>
      </c>
      <c r="D241" s="2" t="s">
        <v>430</v>
      </c>
      <c r="E241" s="28" t="s">
        <v>874</v>
      </c>
      <c r="F241" s="2" t="s">
        <v>813</v>
      </c>
      <c r="G241" s="2" t="s">
        <v>811</v>
      </c>
      <c r="H241" s="2">
        <v>690</v>
      </c>
      <c r="I241" s="2">
        <v>120</v>
      </c>
      <c r="J241" s="2" t="s">
        <v>880</v>
      </c>
      <c r="K241" s="1">
        <v>2019</v>
      </c>
      <c r="L241" s="1">
        <v>2020</v>
      </c>
      <c r="M241" s="2" t="s">
        <v>806</v>
      </c>
      <c r="N241" s="47" t="s">
        <v>885</v>
      </c>
      <c r="O241" s="2" t="s">
        <v>824</v>
      </c>
      <c r="P241" s="47" t="s">
        <v>894</v>
      </c>
      <c r="Q241" s="26" t="s">
        <v>93</v>
      </c>
      <c r="R241" s="26">
        <v>7.05</v>
      </c>
      <c r="S241" s="1" t="s">
        <v>101</v>
      </c>
      <c r="T241" s="1" t="s">
        <v>101</v>
      </c>
      <c r="U241" s="1" t="s">
        <v>101</v>
      </c>
      <c r="V241" s="1">
        <v>7.55</v>
      </c>
      <c r="W241" s="2" t="s">
        <v>101</v>
      </c>
      <c r="X241" s="47">
        <v>170</v>
      </c>
      <c r="Y241" s="2" t="s">
        <v>837</v>
      </c>
      <c r="AA241" s="28" t="s">
        <v>306</v>
      </c>
      <c r="AB241" s="2" t="s">
        <v>839</v>
      </c>
      <c r="AC241" s="2" t="s">
        <v>683</v>
      </c>
      <c r="AD241" s="2" t="s">
        <v>833</v>
      </c>
      <c r="AE241" s="47" t="s">
        <v>1036</v>
      </c>
      <c r="AF241" s="2" t="s">
        <v>831</v>
      </c>
      <c r="AG241" s="47" t="s">
        <v>936</v>
      </c>
      <c r="AH241" s="2" t="s">
        <v>101</v>
      </c>
      <c r="AI241" s="47" t="s">
        <v>538</v>
      </c>
      <c r="AK241" s="1" t="s">
        <v>101</v>
      </c>
      <c r="AL241" s="1" t="s">
        <v>101</v>
      </c>
      <c r="AM241" s="1">
        <v>35</v>
      </c>
      <c r="AN241" s="36" t="s">
        <v>101</v>
      </c>
      <c r="AO241" s="1">
        <v>15.9</v>
      </c>
      <c r="AP241" s="1">
        <v>17</v>
      </c>
      <c r="AQ241" s="36" t="s">
        <v>101</v>
      </c>
      <c r="AR241" s="1">
        <v>7.6</v>
      </c>
      <c r="AS241" s="1">
        <v>2.5</v>
      </c>
      <c r="AT241" s="2">
        <f>(55+45)/2</f>
        <v>50</v>
      </c>
      <c r="AU241" s="47">
        <v>50</v>
      </c>
      <c r="AV241" s="28" t="s">
        <v>101</v>
      </c>
      <c r="AW241" s="2" t="s">
        <v>840</v>
      </c>
      <c r="AX241" s="1">
        <f t="shared" si="52"/>
        <v>52.20125786163522</v>
      </c>
      <c r="AY241" s="1"/>
    </row>
    <row r="242" spans="1:51" s="2" customFormat="1" ht="27.75" customHeight="1" x14ac:dyDescent="0.35">
      <c r="A242" s="1">
        <v>51</v>
      </c>
      <c r="B242" s="2" t="s">
        <v>805</v>
      </c>
      <c r="C242" s="2" t="s">
        <v>804</v>
      </c>
      <c r="D242" s="2" t="s">
        <v>430</v>
      </c>
      <c r="E242" s="28" t="s">
        <v>874</v>
      </c>
      <c r="F242" s="2" t="s">
        <v>813</v>
      </c>
      <c r="G242" s="2" t="s">
        <v>811</v>
      </c>
      <c r="H242" s="2">
        <v>690</v>
      </c>
      <c r="I242" s="2">
        <v>120</v>
      </c>
      <c r="J242" s="2" t="s">
        <v>880</v>
      </c>
      <c r="K242" s="1">
        <v>2019</v>
      </c>
      <c r="L242" s="1">
        <v>2020</v>
      </c>
      <c r="M242" s="2" t="s">
        <v>806</v>
      </c>
      <c r="N242" s="47" t="s">
        <v>885</v>
      </c>
      <c r="O242" s="2" t="s">
        <v>824</v>
      </c>
      <c r="P242" s="47" t="s">
        <v>894</v>
      </c>
      <c r="Q242" s="26" t="s">
        <v>93</v>
      </c>
      <c r="R242" s="26">
        <v>7.05</v>
      </c>
      <c r="S242" s="1" t="s">
        <v>101</v>
      </c>
      <c r="T242" s="1" t="s">
        <v>101</v>
      </c>
      <c r="U242" s="1" t="s">
        <v>101</v>
      </c>
      <c r="V242" s="1">
        <v>7.55</v>
      </c>
      <c r="W242" s="2" t="s">
        <v>101</v>
      </c>
      <c r="X242" s="47">
        <v>170</v>
      </c>
      <c r="Y242" s="2" t="s">
        <v>837</v>
      </c>
      <c r="AA242" s="28" t="s">
        <v>306</v>
      </c>
      <c r="AB242" s="2" t="s">
        <v>839</v>
      </c>
      <c r="AC242" s="2" t="s">
        <v>683</v>
      </c>
      <c r="AD242" s="2" t="s">
        <v>834</v>
      </c>
      <c r="AE242" s="47" t="s">
        <v>1036</v>
      </c>
      <c r="AF242" s="2" t="s">
        <v>831</v>
      </c>
      <c r="AG242" s="47" t="s">
        <v>936</v>
      </c>
      <c r="AH242" s="2" t="s">
        <v>836</v>
      </c>
      <c r="AI242" s="47" t="s">
        <v>960</v>
      </c>
      <c r="AK242" s="1" t="s">
        <v>101</v>
      </c>
      <c r="AL242" s="1" t="s">
        <v>101</v>
      </c>
      <c r="AM242" s="1">
        <v>35</v>
      </c>
      <c r="AN242" s="36" t="s">
        <v>101</v>
      </c>
      <c r="AO242" s="1">
        <v>15.9</v>
      </c>
      <c r="AP242" s="1">
        <v>20</v>
      </c>
      <c r="AQ242" s="36" t="s">
        <v>101</v>
      </c>
      <c r="AR242" s="1">
        <v>9.1</v>
      </c>
      <c r="AS242" s="1">
        <v>4</v>
      </c>
      <c r="AT242" s="2">
        <f>(48+31)/2</f>
        <v>39.5</v>
      </c>
      <c r="AU242" s="47">
        <v>39.5</v>
      </c>
      <c r="AV242" s="28" t="s">
        <v>101</v>
      </c>
      <c r="AW242" s="2" t="s">
        <v>840</v>
      </c>
      <c r="AX242" s="1">
        <f t="shared" si="52"/>
        <v>42.767295597484278</v>
      </c>
      <c r="AY242" s="1"/>
    </row>
    <row r="243" spans="1:51" s="2" customFormat="1" ht="27.75" customHeight="1" x14ac:dyDescent="0.35">
      <c r="A243" s="1">
        <v>51</v>
      </c>
      <c r="B243" s="2" t="s">
        <v>805</v>
      </c>
      <c r="C243" s="2" t="s">
        <v>804</v>
      </c>
      <c r="D243" s="2" t="s">
        <v>430</v>
      </c>
      <c r="E243" s="28" t="s">
        <v>874</v>
      </c>
      <c r="F243" s="2" t="s">
        <v>814</v>
      </c>
      <c r="G243" s="2" t="s">
        <v>812</v>
      </c>
      <c r="H243" s="2">
        <v>410</v>
      </c>
      <c r="I243" s="2">
        <v>80</v>
      </c>
      <c r="J243" s="2" t="s">
        <v>881</v>
      </c>
      <c r="K243" s="1">
        <v>2019</v>
      </c>
      <c r="L243" s="1">
        <v>2020</v>
      </c>
      <c r="M243" s="2" t="s">
        <v>806</v>
      </c>
      <c r="N243" s="47" t="s">
        <v>885</v>
      </c>
      <c r="O243" s="2" t="s">
        <v>823</v>
      </c>
      <c r="P243" s="47" t="s">
        <v>534</v>
      </c>
      <c r="Q243" s="26" t="s">
        <v>93</v>
      </c>
      <c r="R243" s="26">
        <v>8.5500000000000007</v>
      </c>
      <c r="S243" s="1" t="s">
        <v>101</v>
      </c>
      <c r="T243" s="1" t="s">
        <v>101</v>
      </c>
      <c r="U243" s="1" t="s">
        <v>101</v>
      </c>
      <c r="V243" s="1">
        <v>7.65</v>
      </c>
      <c r="W243" s="2" t="s">
        <v>101</v>
      </c>
      <c r="X243" s="47">
        <v>170</v>
      </c>
      <c r="Y243" s="15" t="s">
        <v>838</v>
      </c>
      <c r="Z243" s="15"/>
      <c r="AA243" s="28" t="s">
        <v>306</v>
      </c>
      <c r="AB243" s="2" t="s">
        <v>839</v>
      </c>
      <c r="AC243" s="2" t="s">
        <v>683</v>
      </c>
      <c r="AD243" s="2" t="s">
        <v>826</v>
      </c>
      <c r="AE243" s="47" t="s">
        <v>936</v>
      </c>
      <c r="AF243" s="2" t="s">
        <v>825</v>
      </c>
      <c r="AG243" s="47" t="s">
        <v>936</v>
      </c>
      <c r="AH243" s="2" t="s">
        <v>827</v>
      </c>
      <c r="AI243" s="47" t="s">
        <v>924</v>
      </c>
      <c r="AK243" s="1">
        <v>6.4</v>
      </c>
      <c r="AL243" s="1" t="s">
        <v>101</v>
      </c>
      <c r="AM243" s="1">
        <v>9</v>
      </c>
      <c r="AN243" s="36" t="s">
        <v>101</v>
      </c>
      <c r="AO243" s="1">
        <v>4.8</v>
      </c>
      <c r="AP243" s="1">
        <v>2</v>
      </c>
      <c r="AQ243" s="36" t="s">
        <v>101</v>
      </c>
      <c r="AR243" s="1">
        <v>1</v>
      </c>
      <c r="AS243" s="1">
        <v>1.4</v>
      </c>
      <c r="AT243" s="2">
        <v>74</v>
      </c>
      <c r="AU243" s="47">
        <v>74</v>
      </c>
      <c r="AV243" s="28" t="s">
        <v>101</v>
      </c>
      <c r="AW243" s="2" t="s">
        <v>840</v>
      </c>
      <c r="AX243" s="1">
        <f t="shared" si="52"/>
        <v>79.166666666666657</v>
      </c>
      <c r="AY243" s="1"/>
    </row>
    <row r="244" spans="1:51" s="2" customFormat="1" ht="27.75" customHeight="1" x14ac:dyDescent="0.35">
      <c r="A244" s="1">
        <v>51</v>
      </c>
      <c r="B244" s="2" t="s">
        <v>805</v>
      </c>
      <c r="C244" s="2" t="s">
        <v>804</v>
      </c>
      <c r="D244" s="2" t="s">
        <v>430</v>
      </c>
      <c r="E244" s="28" t="s">
        <v>874</v>
      </c>
      <c r="F244" s="2" t="s">
        <v>814</v>
      </c>
      <c r="G244" s="2" t="s">
        <v>812</v>
      </c>
      <c r="H244" s="2">
        <v>410</v>
      </c>
      <c r="I244" s="2">
        <v>80</v>
      </c>
      <c r="J244" s="2" t="s">
        <v>881</v>
      </c>
      <c r="K244" s="1">
        <v>2019</v>
      </c>
      <c r="L244" s="1">
        <v>2020</v>
      </c>
      <c r="M244" s="2" t="s">
        <v>806</v>
      </c>
      <c r="N244" s="47" t="s">
        <v>885</v>
      </c>
      <c r="O244" s="2" t="s">
        <v>823</v>
      </c>
      <c r="P244" s="47" t="s">
        <v>534</v>
      </c>
      <c r="Q244" s="26" t="s">
        <v>93</v>
      </c>
      <c r="R244" s="26">
        <v>8.5500000000000007</v>
      </c>
      <c r="S244" s="1" t="s">
        <v>101</v>
      </c>
      <c r="T244" s="1" t="s">
        <v>101</v>
      </c>
      <c r="U244" s="1" t="s">
        <v>101</v>
      </c>
      <c r="V244" s="1">
        <v>7.65</v>
      </c>
      <c r="W244" s="2" t="s">
        <v>101</v>
      </c>
      <c r="X244" s="47">
        <v>170</v>
      </c>
      <c r="Y244" s="15" t="s">
        <v>838</v>
      </c>
      <c r="Z244" s="15"/>
      <c r="AA244" s="28" t="s">
        <v>306</v>
      </c>
      <c r="AB244" s="2" t="s">
        <v>839</v>
      </c>
      <c r="AC244" s="2" t="s">
        <v>683</v>
      </c>
      <c r="AD244" s="2" t="s">
        <v>828</v>
      </c>
      <c r="AE244" s="47" t="s">
        <v>1036</v>
      </c>
      <c r="AF244" s="2" t="s">
        <v>825</v>
      </c>
      <c r="AG244" s="47" t="s">
        <v>936</v>
      </c>
      <c r="AH244" s="2" t="s">
        <v>101</v>
      </c>
      <c r="AI244" s="47" t="s">
        <v>914</v>
      </c>
      <c r="AK244" s="1" t="s">
        <v>101</v>
      </c>
      <c r="AL244" s="1" t="s">
        <v>101</v>
      </c>
      <c r="AM244" s="1">
        <v>9</v>
      </c>
      <c r="AN244" s="36" t="s">
        <v>101</v>
      </c>
      <c r="AO244" s="1">
        <v>4.8</v>
      </c>
      <c r="AP244" s="1">
        <v>8</v>
      </c>
      <c r="AQ244" s="36" t="s">
        <v>101</v>
      </c>
      <c r="AR244" s="1">
        <v>4.3</v>
      </c>
      <c r="AS244" s="1">
        <v>1.4</v>
      </c>
      <c r="AT244" s="2">
        <f>(-39+38)/2</f>
        <v>-0.5</v>
      </c>
      <c r="AU244" s="47">
        <v>-0.5</v>
      </c>
      <c r="AV244" s="28" t="s">
        <v>101</v>
      </c>
      <c r="AW244" s="2" t="s">
        <v>840</v>
      </c>
      <c r="AX244" s="1">
        <f t="shared" si="52"/>
        <v>10.416666666666668</v>
      </c>
      <c r="AY244" s="1"/>
    </row>
    <row r="245" spans="1:51" s="2" customFormat="1" ht="27.75" customHeight="1" x14ac:dyDescent="0.35">
      <c r="A245" s="1">
        <v>51</v>
      </c>
      <c r="B245" s="2" t="s">
        <v>805</v>
      </c>
      <c r="C245" s="2" t="s">
        <v>804</v>
      </c>
      <c r="D245" s="2" t="s">
        <v>430</v>
      </c>
      <c r="E245" s="28" t="s">
        <v>874</v>
      </c>
      <c r="F245" s="2" t="s">
        <v>814</v>
      </c>
      <c r="G245" s="2" t="s">
        <v>812</v>
      </c>
      <c r="H245" s="2">
        <v>410</v>
      </c>
      <c r="I245" s="2">
        <v>80</v>
      </c>
      <c r="J245" s="2" t="s">
        <v>881</v>
      </c>
      <c r="K245" s="1">
        <v>2019</v>
      </c>
      <c r="L245" s="1">
        <v>2020</v>
      </c>
      <c r="M245" s="2" t="s">
        <v>806</v>
      </c>
      <c r="N245" s="47" t="s">
        <v>885</v>
      </c>
      <c r="O245" s="2" t="s">
        <v>823</v>
      </c>
      <c r="P245" s="47" t="s">
        <v>534</v>
      </c>
      <c r="Q245" s="26" t="s">
        <v>93</v>
      </c>
      <c r="R245" s="26">
        <v>8.5500000000000007</v>
      </c>
      <c r="S245" s="1" t="s">
        <v>101</v>
      </c>
      <c r="T245" s="1" t="s">
        <v>101</v>
      </c>
      <c r="U245" s="1" t="s">
        <v>101</v>
      </c>
      <c r="V245" s="1">
        <v>7.65</v>
      </c>
      <c r="W245" s="2" t="s">
        <v>101</v>
      </c>
      <c r="X245" s="47">
        <v>170</v>
      </c>
      <c r="Y245" s="15" t="s">
        <v>838</v>
      </c>
      <c r="Z245" s="15"/>
      <c r="AA245" s="28" t="s">
        <v>306</v>
      </c>
      <c r="AB245" s="2" t="s">
        <v>839</v>
      </c>
      <c r="AC245" s="2" t="s">
        <v>683</v>
      </c>
      <c r="AD245" s="2" t="s">
        <v>829</v>
      </c>
      <c r="AE245" s="47" t="s">
        <v>1036</v>
      </c>
      <c r="AF245" s="2" t="s">
        <v>825</v>
      </c>
      <c r="AG245" s="47" t="s">
        <v>936</v>
      </c>
      <c r="AH245" s="2" t="s">
        <v>830</v>
      </c>
      <c r="AI245" s="47" t="s">
        <v>937</v>
      </c>
      <c r="AK245" s="1" t="s">
        <v>101</v>
      </c>
      <c r="AL245" s="1" t="s">
        <v>101</v>
      </c>
      <c r="AM245" s="1">
        <v>9</v>
      </c>
      <c r="AN245" s="36" t="s">
        <v>101</v>
      </c>
      <c r="AO245" s="1">
        <v>4.8</v>
      </c>
      <c r="AP245" s="1">
        <v>7</v>
      </c>
      <c r="AQ245" s="36" t="s">
        <v>101</v>
      </c>
      <c r="AR245" s="1">
        <v>3.9</v>
      </c>
      <c r="AS245" s="1">
        <v>2.2000000000000002</v>
      </c>
      <c r="AT245" s="2">
        <f>(17+18)/2</f>
        <v>17.5</v>
      </c>
      <c r="AU245" s="47">
        <v>17.5</v>
      </c>
      <c r="AV245" s="28" t="s">
        <v>101</v>
      </c>
      <c r="AW245" s="2" t="s">
        <v>840</v>
      </c>
      <c r="AX245" s="1">
        <f t="shared" si="52"/>
        <v>18.75</v>
      </c>
      <c r="AY245" s="1"/>
    </row>
    <row r="246" spans="1:51" s="2" customFormat="1" ht="27.75" customHeight="1" x14ac:dyDescent="0.35">
      <c r="A246" s="1">
        <v>51</v>
      </c>
      <c r="B246" s="2" t="s">
        <v>805</v>
      </c>
      <c r="C246" s="2" t="s">
        <v>804</v>
      </c>
      <c r="D246" s="2" t="s">
        <v>430</v>
      </c>
      <c r="E246" s="28" t="s">
        <v>874</v>
      </c>
      <c r="F246" s="2" t="s">
        <v>815</v>
      </c>
      <c r="G246" s="2" t="s">
        <v>817</v>
      </c>
      <c r="H246" s="2">
        <v>640</v>
      </c>
      <c r="I246" s="2">
        <v>80</v>
      </c>
      <c r="J246" s="2" t="s">
        <v>880</v>
      </c>
      <c r="K246" s="1">
        <v>2019</v>
      </c>
      <c r="L246" s="1">
        <v>2020</v>
      </c>
      <c r="M246" s="2" t="s">
        <v>806</v>
      </c>
      <c r="N246" s="47" t="s">
        <v>885</v>
      </c>
      <c r="O246" s="2" t="s">
        <v>823</v>
      </c>
      <c r="P246" s="47" t="s">
        <v>534</v>
      </c>
      <c r="Q246" s="26" t="s">
        <v>93</v>
      </c>
      <c r="R246" s="26">
        <v>5.6</v>
      </c>
      <c r="S246" s="1" t="s">
        <v>101</v>
      </c>
      <c r="T246" s="1" t="s">
        <v>101</v>
      </c>
      <c r="U246" s="1" t="s">
        <v>101</v>
      </c>
      <c r="V246" s="1">
        <v>8</v>
      </c>
      <c r="W246" s="2" t="s">
        <v>101</v>
      </c>
      <c r="X246" s="47">
        <v>170</v>
      </c>
      <c r="Y246" s="2" t="s">
        <v>837</v>
      </c>
      <c r="AA246" s="28" t="s">
        <v>306</v>
      </c>
      <c r="AB246" s="2" t="s">
        <v>839</v>
      </c>
      <c r="AC246" s="2" t="s">
        <v>683</v>
      </c>
      <c r="AD246" s="2" t="s">
        <v>826</v>
      </c>
      <c r="AE246" s="47" t="s">
        <v>936</v>
      </c>
      <c r="AF246" s="2" t="s">
        <v>825</v>
      </c>
      <c r="AG246" s="47" t="s">
        <v>936</v>
      </c>
      <c r="AH246" s="2" t="s">
        <v>827</v>
      </c>
      <c r="AI246" s="47" t="s">
        <v>924</v>
      </c>
      <c r="AK246" s="1">
        <v>5.8</v>
      </c>
      <c r="AL246" s="1" t="s">
        <v>101</v>
      </c>
      <c r="AM246" s="1">
        <v>40</v>
      </c>
      <c r="AN246" s="36" t="s">
        <v>101</v>
      </c>
      <c r="AO246" s="1">
        <v>18.3</v>
      </c>
      <c r="AP246" s="1">
        <v>19</v>
      </c>
      <c r="AQ246" s="36" t="s">
        <v>101</v>
      </c>
      <c r="AR246" s="1">
        <v>8.3000000000000007</v>
      </c>
      <c r="AS246" s="1">
        <v>4.9000000000000004</v>
      </c>
      <c r="AT246" s="2">
        <f>(71+47)/2</f>
        <v>59</v>
      </c>
      <c r="AU246" s="47">
        <v>59</v>
      </c>
      <c r="AV246" s="28" t="s">
        <v>101</v>
      </c>
      <c r="AW246" s="2" t="s">
        <v>840</v>
      </c>
      <c r="AX246" s="1">
        <f t="shared" si="52"/>
        <v>54.644808743169392</v>
      </c>
      <c r="AY246" s="1"/>
    </row>
    <row r="247" spans="1:51" s="2" customFormat="1" ht="27.75" customHeight="1" x14ac:dyDescent="0.35">
      <c r="A247" s="1">
        <v>51</v>
      </c>
      <c r="B247" s="2" t="s">
        <v>805</v>
      </c>
      <c r="C247" s="2" t="s">
        <v>804</v>
      </c>
      <c r="D247" s="2" t="s">
        <v>430</v>
      </c>
      <c r="E247" s="28" t="s">
        <v>874</v>
      </c>
      <c r="F247" s="2" t="s">
        <v>815</v>
      </c>
      <c r="G247" s="2" t="s">
        <v>817</v>
      </c>
      <c r="H247" s="2">
        <v>640</v>
      </c>
      <c r="I247" s="2">
        <v>80</v>
      </c>
      <c r="J247" s="2" t="s">
        <v>880</v>
      </c>
      <c r="K247" s="1">
        <v>2019</v>
      </c>
      <c r="L247" s="1">
        <v>2020</v>
      </c>
      <c r="M247" s="2" t="s">
        <v>806</v>
      </c>
      <c r="N247" s="47" t="s">
        <v>885</v>
      </c>
      <c r="O247" s="2" t="s">
        <v>823</v>
      </c>
      <c r="P247" s="47" t="s">
        <v>534</v>
      </c>
      <c r="Q247" s="26" t="s">
        <v>93</v>
      </c>
      <c r="R247" s="26">
        <v>5.6</v>
      </c>
      <c r="S247" s="1" t="s">
        <v>101</v>
      </c>
      <c r="T247" s="1" t="s">
        <v>101</v>
      </c>
      <c r="U247" s="1" t="s">
        <v>101</v>
      </c>
      <c r="V247" s="1">
        <v>8</v>
      </c>
      <c r="W247" s="2" t="s">
        <v>101</v>
      </c>
      <c r="X247" s="47">
        <v>170</v>
      </c>
      <c r="Y247" s="2" t="s">
        <v>837</v>
      </c>
      <c r="AA247" s="28" t="s">
        <v>306</v>
      </c>
      <c r="AB247" s="2" t="s">
        <v>839</v>
      </c>
      <c r="AC247" s="2" t="s">
        <v>683</v>
      </c>
      <c r="AD247" s="2" t="s">
        <v>828</v>
      </c>
      <c r="AE247" s="47" t="s">
        <v>1036</v>
      </c>
      <c r="AF247" s="2" t="s">
        <v>825</v>
      </c>
      <c r="AG247" s="47" t="s">
        <v>936</v>
      </c>
      <c r="AH247" s="2" t="s">
        <v>101</v>
      </c>
      <c r="AI247" s="47" t="s">
        <v>914</v>
      </c>
      <c r="AK247" s="1" t="s">
        <v>101</v>
      </c>
      <c r="AL247" s="1" t="s">
        <v>101</v>
      </c>
      <c r="AM247" s="1">
        <v>40</v>
      </c>
      <c r="AN247" s="36" t="s">
        <v>101</v>
      </c>
      <c r="AO247" s="1">
        <v>18.3</v>
      </c>
      <c r="AP247" s="1">
        <f>26+8</f>
        <v>34</v>
      </c>
      <c r="AQ247" s="36" t="s">
        <v>101</v>
      </c>
      <c r="AR247" s="1">
        <v>15.3</v>
      </c>
      <c r="AS247" s="1">
        <v>4.2</v>
      </c>
      <c r="AT247" s="2">
        <f>(26+12)/2</f>
        <v>19</v>
      </c>
      <c r="AU247" s="47">
        <v>19</v>
      </c>
      <c r="AV247" s="28" t="s">
        <v>101</v>
      </c>
      <c r="AW247" s="2" t="s">
        <v>840</v>
      </c>
      <c r="AX247" s="1">
        <f t="shared" si="52"/>
        <v>16.393442622950818</v>
      </c>
      <c r="AY247" s="1"/>
    </row>
    <row r="248" spans="1:51" s="2" customFormat="1" ht="27.75" customHeight="1" x14ac:dyDescent="0.35">
      <c r="A248" s="1">
        <v>51</v>
      </c>
      <c r="B248" s="2" t="s">
        <v>805</v>
      </c>
      <c r="C248" s="2" t="s">
        <v>804</v>
      </c>
      <c r="D248" s="2" t="s">
        <v>430</v>
      </c>
      <c r="E248" s="28" t="s">
        <v>874</v>
      </c>
      <c r="F248" s="2" t="s">
        <v>815</v>
      </c>
      <c r="G248" s="2" t="s">
        <v>817</v>
      </c>
      <c r="H248" s="2">
        <v>640</v>
      </c>
      <c r="I248" s="2">
        <v>80</v>
      </c>
      <c r="J248" s="2" t="s">
        <v>880</v>
      </c>
      <c r="K248" s="1">
        <v>2019</v>
      </c>
      <c r="L248" s="1">
        <v>2020</v>
      </c>
      <c r="M248" s="2" t="s">
        <v>806</v>
      </c>
      <c r="N248" s="47" t="s">
        <v>885</v>
      </c>
      <c r="O248" s="2" t="s">
        <v>823</v>
      </c>
      <c r="P248" s="47" t="s">
        <v>534</v>
      </c>
      <c r="Q248" s="26" t="s">
        <v>93</v>
      </c>
      <c r="R248" s="26">
        <v>5.6</v>
      </c>
      <c r="S248" s="1" t="s">
        <v>101</v>
      </c>
      <c r="T248" s="1" t="s">
        <v>101</v>
      </c>
      <c r="U248" s="1" t="s">
        <v>101</v>
      </c>
      <c r="V248" s="1">
        <v>8</v>
      </c>
      <c r="W248" s="2" t="s">
        <v>101</v>
      </c>
      <c r="X248" s="47">
        <v>170</v>
      </c>
      <c r="Y248" s="2" t="s">
        <v>837</v>
      </c>
      <c r="AA248" s="28" t="s">
        <v>306</v>
      </c>
      <c r="AB248" s="2" t="s">
        <v>839</v>
      </c>
      <c r="AC248" s="2" t="s">
        <v>683</v>
      </c>
      <c r="AD248" s="2" t="s">
        <v>829</v>
      </c>
      <c r="AE248" s="47" t="s">
        <v>1036</v>
      </c>
      <c r="AF248" s="2" t="s">
        <v>825</v>
      </c>
      <c r="AG248" s="47" t="s">
        <v>936</v>
      </c>
      <c r="AH248" s="2" t="s">
        <v>830</v>
      </c>
      <c r="AI248" s="47" t="s">
        <v>937</v>
      </c>
      <c r="AK248" s="1" t="s">
        <v>101</v>
      </c>
      <c r="AL248" s="1" t="s">
        <v>101</v>
      </c>
      <c r="AM248" s="1">
        <v>40</v>
      </c>
      <c r="AN248" s="36" t="s">
        <v>101</v>
      </c>
      <c r="AO248" s="1">
        <v>18.3</v>
      </c>
      <c r="AP248" s="1">
        <f>12+31</f>
        <v>43</v>
      </c>
      <c r="AQ248" s="36" t="s">
        <v>101</v>
      </c>
      <c r="AR248" s="1">
        <v>19.3</v>
      </c>
      <c r="AS248" s="1">
        <v>3.6</v>
      </c>
      <c r="AT248" s="2">
        <f>(-8-4)/2</f>
        <v>-6</v>
      </c>
      <c r="AU248" s="47">
        <v>-6</v>
      </c>
      <c r="AV248" s="28" t="s">
        <v>101</v>
      </c>
      <c r="AW248" s="2" t="s">
        <v>840</v>
      </c>
      <c r="AX248" s="1">
        <f t="shared" si="52"/>
        <v>-5.4644808743169397</v>
      </c>
      <c r="AY248" s="1"/>
    </row>
    <row r="249" spans="1:51" s="2" customFormat="1" ht="27.75" customHeight="1" x14ac:dyDescent="0.35">
      <c r="A249" s="1">
        <v>51</v>
      </c>
      <c r="B249" s="2" t="s">
        <v>805</v>
      </c>
      <c r="C249" s="2" t="s">
        <v>804</v>
      </c>
      <c r="D249" s="2" t="s">
        <v>430</v>
      </c>
      <c r="E249" s="28" t="s">
        <v>874</v>
      </c>
      <c r="F249" s="2" t="s">
        <v>815</v>
      </c>
      <c r="G249" s="2" t="s">
        <v>817</v>
      </c>
      <c r="H249" s="2">
        <v>640</v>
      </c>
      <c r="I249" s="2">
        <v>80</v>
      </c>
      <c r="J249" s="2" t="s">
        <v>880</v>
      </c>
      <c r="K249" s="1">
        <v>2019</v>
      </c>
      <c r="L249" s="1">
        <v>2020</v>
      </c>
      <c r="M249" s="2" t="s">
        <v>806</v>
      </c>
      <c r="N249" s="47" t="s">
        <v>885</v>
      </c>
      <c r="O249" s="2" t="s">
        <v>824</v>
      </c>
      <c r="P249" s="47" t="s">
        <v>894</v>
      </c>
      <c r="Q249" s="26" t="s">
        <v>93</v>
      </c>
      <c r="R249" s="26">
        <v>5.4</v>
      </c>
      <c r="S249" s="1" t="s">
        <v>101</v>
      </c>
      <c r="T249" s="1" t="s">
        <v>101</v>
      </c>
      <c r="U249" s="1" t="s">
        <v>101</v>
      </c>
      <c r="V249" s="1">
        <v>7.75</v>
      </c>
      <c r="W249" s="2" t="s">
        <v>101</v>
      </c>
      <c r="X249" s="47">
        <v>170</v>
      </c>
      <c r="Y249" s="2" t="s">
        <v>837</v>
      </c>
      <c r="AA249" s="28" t="s">
        <v>306</v>
      </c>
      <c r="AB249" s="2" t="s">
        <v>839</v>
      </c>
      <c r="AC249" s="2" t="s">
        <v>683</v>
      </c>
      <c r="AD249" s="2" t="s">
        <v>832</v>
      </c>
      <c r="AE249" s="47" t="s">
        <v>936</v>
      </c>
      <c r="AF249" s="2" t="s">
        <v>831</v>
      </c>
      <c r="AG249" s="47" t="s">
        <v>936</v>
      </c>
      <c r="AH249" s="2" t="s">
        <v>835</v>
      </c>
      <c r="AI249" s="47" t="s">
        <v>959</v>
      </c>
      <c r="AK249" s="1">
        <v>7.4</v>
      </c>
      <c r="AL249" s="1" t="s">
        <v>101</v>
      </c>
      <c r="AM249" s="1">
        <v>39</v>
      </c>
      <c r="AN249" s="36" t="s">
        <v>101</v>
      </c>
      <c r="AO249" s="1">
        <v>19.399999999999999</v>
      </c>
      <c r="AP249" s="1">
        <v>29</v>
      </c>
      <c r="AQ249" s="36" t="s">
        <v>101</v>
      </c>
      <c r="AR249" s="1">
        <v>14.9</v>
      </c>
      <c r="AS249" s="1">
        <v>4.4000000000000004</v>
      </c>
      <c r="AT249" s="2">
        <v>22.5</v>
      </c>
      <c r="AU249" s="47">
        <v>22.5</v>
      </c>
      <c r="AV249" s="28" t="s">
        <v>101</v>
      </c>
      <c r="AW249" s="2" t="s">
        <v>840</v>
      </c>
      <c r="AX249" s="1">
        <f t="shared" si="52"/>
        <v>23.195876288659786</v>
      </c>
      <c r="AY249" s="1"/>
    </row>
    <row r="250" spans="1:51" s="2" customFormat="1" ht="27.75" customHeight="1" x14ac:dyDescent="0.35">
      <c r="A250" s="1">
        <v>51</v>
      </c>
      <c r="B250" s="2" t="s">
        <v>805</v>
      </c>
      <c r="C250" s="2" t="s">
        <v>804</v>
      </c>
      <c r="D250" s="2" t="s">
        <v>430</v>
      </c>
      <c r="E250" s="28" t="s">
        <v>874</v>
      </c>
      <c r="F250" s="2" t="s">
        <v>815</v>
      </c>
      <c r="G250" s="2" t="s">
        <v>817</v>
      </c>
      <c r="H250" s="2">
        <v>640</v>
      </c>
      <c r="I250" s="2">
        <v>80</v>
      </c>
      <c r="J250" s="2" t="s">
        <v>880</v>
      </c>
      <c r="K250" s="1">
        <v>2019</v>
      </c>
      <c r="L250" s="1">
        <v>2020</v>
      </c>
      <c r="M250" s="2" t="s">
        <v>806</v>
      </c>
      <c r="N250" s="47" t="s">
        <v>885</v>
      </c>
      <c r="O250" s="2" t="s">
        <v>824</v>
      </c>
      <c r="P250" s="47" t="s">
        <v>894</v>
      </c>
      <c r="Q250" s="26" t="s">
        <v>93</v>
      </c>
      <c r="R250" s="26">
        <v>5.4</v>
      </c>
      <c r="S250" s="1" t="s">
        <v>101</v>
      </c>
      <c r="T250" s="1" t="s">
        <v>101</v>
      </c>
      <c r="U250" s="1" t="s">
        <v>101</v>
      </c>
      <c r="V250" s="1">
        <v>7.75</v>
      </c>
      <c r="W250" s="2" t="s">
        <v>101</v>
      </c>
      <c r="X250" s="47">
        <v>170</v>
      </c>
      <c r="Y250" s="2" t="s">
        <v>837</v>
      </c>
      <c r="AA250" s="28" t="s">
        <v>306</v>
      </c>
      <c r="AB250" s="2" t="s">
        <v>839</v>
      </c>
      <c r="AC250" s="2" t="s">
        <v>683</v>
      </c>
      <c r="AD250" s="2" t="s">
        <v>833</v>
      </c>
      <c r="AE250" s="47" t="s">
        <v>1036</v>
      </c>
      <c r="AF250" s="2" t="s">
        <v>831</v>
      </c>
      <c r="AG250" s="47" t="s">
        <v>936</v>
      </c>
      <c r="AH250" s="2" t="s">
        <v>101</v>
      </c>
      <c r="AI250" s="47" t="s">
        <v>538</v>
      </c>
      <c r="AK250" s="1" t="s">
        <v>101</v>
      </c>
      <c r="AL250" s="1" t="s">
        <v>101</v>
      </c>
      <c r="AM250" s="1">
        <v>39</v>
      </c>
      <c r="AN250" s="36" t="s">
        <v>101</v>
      </c>
      <c r="AO250" s="1">
        <v>19.399999999999999</v>
      </c>
      <c r="AP250" s="1">
        <v>34</v>
      </c>
      <c r="AQ250" s="36" t="s">
        <v>101</v>
      </c>
      <c r="AR250" s="1">
        <v>16.899999999999999</v>
      </c>
      <c r="AS250" s="1">
        <v>5.7</v>
      </c>
      <c r="AT250" s="2">
        <f>38/2</f>
        <v>19</v>
      </c>
      <c r="AU250" s="47">
        <v>19</v>
      </c>
      <c r="AV250" s="28" t="s">
        <v>101</v>
      </c>
      <c r="AW250" s="2" t="s">
        <v>840</v>
      </c>
      <c r="AX250" s="1">
        <f t="shared" si="52"/>
        <v>12.886597938144332</v>
      </c>
      <c r="AY250" s="1"/>
    </row>
    <row r="251" spans="1:51" s="2" customFormat="1" ht="27.75" customHeight="1" x14ac:dyDescent="0.35">
      <c r="A251" s="1">
        <v>51</v>
      </c>
      <c r="B251" s="2" t="s">
        <v>805</v>
      </c>
      <c r="C251" s="2" t="s">
        <v>804</v>
      </c>
      <c r="D251" s="2" t="s">
        <v>430</v>
      </c>
      <c r="E251" s="28" t="s">
        <v>874</v>
      </c>
      <c r="F251" s="2" t="s">
        <v>815</v>
      </c>
      <c r="G251" s="2" t="s">
        <v>817</v>
      </c>
      <c r="H251" s="2">
        <v>640</v>
      </c>
      <c r="I251" s="2">
        <v>80</v>
      </c>
      <c r="J251" s="2" t="s">
        <v>880</v>
      </c>
      <c r="K251" s="1">
        <v>2019</v>
      </c>
      <c r="L251" s="1">
        <v>2020</v>
      </c>
      <c r="M251" s="2" t="s">
        <v>806</v>
      </c>
      <c r="N251" s="47" t="s">
        <v>885</v>
      </c>
      <c r="O251" s="2" t="s">
        <v>824</v>
      </c>
      <c r="P251" s="47" t="s">
        <v>894</v>
      </c>
      <c r="Q251" s="26" t="s">
        <v>93</v>
      </c>
      <c r="R251" s="26">
        <v>5.4</v>
      </c>
      <c r="S251" s="1" t="s">
        <v>101</v>
      </c>
      <c r="T251" s="1" t="s">
        <v>101</v>
      </c>
      <c r="U251" s="1" t="s">
        <v>101</v>
      </c>
      <c r="V251" s="1">
        <v>7.75</v>
      </c>
      <c r="W251" s="2" t="s">
        <v>101</v>
      </c>
      <c r="X251" s="47">
        <v>170</v>
      </c>
      <c r="Y251" s="2" t="s">
        <v>837</v>
      </c>
      <c r="AA251" s="28" t="s">
        <v>306</v>
      </c>
      <c r="AB251" s="2" t="s">
        <v>839</v>
      </c>
      <c r="AC251" s="2" t="s">
        <v>683</v>
      </c>
      <c r="AD251" s="2" t="s">
        <v>834</v>
      </c>
      <c r="AE251" s="47" t="s">
        <v>1036</v>
      </c>
      <c r="AF251" s="2" t="s">
        <v>831</v>
      </c>
      <c r="AG251" s="47" t="s">
        <v>936</v>
      </c>
      <c r="AH251" s="2" t="s">
        <v>836</v>
      </c>
      <c r="AI251" s="47" t="s">
        <v>960</v>
      </c>
      <c r="AK251" s="1" t="s">
        <v>101</v>
      </c>
      <c r="AL251" s="1" t="s">
        <v>101</v>
      </c>
      <c r="AM251" s="1">
        <v>39</v>
      </c>
      <c r="AN251" s="36" t="s">
        <v>101</v>
      </c>
      <c r="AO251" s="1">
        <v>19.399999999999999</v>
      </c>
      <c r="AP251" s="1">
        <v>40</v>
      </c>
      <c r="AQ251" s="36" t="s">
        <v>101</v>
      </c>
      <c r="AR251" s="1">
        <v>19.8</v>
      </c>
      <c r="AS251" s="1">
        <v>6.2</v>
      </c>
      <c r="AT251" s="28">
        <v>4</v>
      </c>
      <c r="AU251" s="55">
        <v>4</v>
      </c>
      <c r="AV251" s="28" t="s">
        <v>101</v>
      </c>
      <c r="AW251" s="2" t="s">
        <v>840</v>
      </c>
      <c r="AX251" s="1">
        <f t="shared" si="52"/>
        <v>-2.0618556701031037</v>
      </c>
      <c r="AY251" s="1"/>
    </row>
    <row r="252" spans="1:51" s="2" customFormat="1" ht="27.75" customHeight="1" x14ac:dyDescent="0.35">
      <c r="A252" s="1">
        <v>51</v>
      </c>
      <c r="B252" s="2" t="s">
        <v>805</v>
      </c>
      <c r="C252" s="2" t="s">
        <v>804</v>
      </c>
      <c r="D252" s="2" t="s">
        <v>430</v>
      </c>
      <c r="E252" s="28" t="s">
        <v>874</v>
      </c>
      <c r="F252" s="2" t="s">
        <v>816</v>
      </c>
      <c r="G252" s="2" t="s">
        <v>818</v>
      </c>
      <c r="H252" s="2">
        <v>560</v>
      </c>
      <c r="I252" s="2">
        <v>110</v>
      </c>
      <c r="J252" s="2" t="s">
        <v>881</v>
      </c>
      <c r="K252" s="1">
        <v>2019</v>
      </c>
      <c r="L252" s="1">
        <v>2020</v>
      </c>
      <c r="M252" s="2" t="s">
        <v>806</v>
      </c>
      <c r="N252" s="47" t="s">
        <v>885</v>
      </c>
      <c r="O252" s="2" t="s">
        <v>823</v>
      </c>
      <c r="P252" s="47" t="s">
        <v>534</v>
      </c>
      <c r="Q252" s="26" t="s">
        <v>93</v>
      </c>
      <c r="R252" s="26">
        <v>6.9</v>
      </c>
      <c r="S252" s="1" t="s">
        <v>101</v>
      </c>
      <c r="T252" s="1" t="s">
        <v>101</v>
      </c>
      <c r="U252" s="1" t="s">
        <v>101</v>
      </c>
      <c r="V252" s="1">
        <v>7.55</v>
      </c>
      <c r="W252" s="2" t="s">
        <v>101</v>
      </c>
      <c r="X252" s="47">
        <v>170</v>
      </c>
      <c r="Y252" s="2" t="s">
        <v>837</v>
      </c>
      <c r="AA252" s="28" t="s">
        <v>306</v>
      </c>
      <c r="AB252" s="2" t="s">
        <v>839</v>
      </c>
      <c r="AC252" s="2" t="s">
        <v>683</v>
      </c>
      <c r="AD252" s="2" t="s">
        <v>826</v>
      </c>
      <c r="AE252" s="47" t="s">
        <v>936</v>
      </c>
      <c r="AF252" s="2" t="s">
        <v>825</v>
      </c>
      <c r="AG252" s="47" t="s">
        <v>936</v>
      </c>
      <c r="AH252" s="2" t="s">
        <v>827</v>
      </c>
      <c r="AI252" s="47" t="s">
        <v>924</v>
      </c>
      <c r="AK252" s="1">
        <v>6.6</v>
      </c>
      <c r="AL252" s="1" t="s">
        <v>101</v>
      </c>
      <c r="AM252" s="1">
        <v>50</v>
      </c>
      <c r="AN252" s="36" t="s">
        <v>101</v>
      </c>
      <c r="AO252" s="1">
        <v>23.6</v>
      </c>
      <c r="AP252" s="1">
        <v>22</v>
      </c>
      <c r="AQ252" s="36" t="s">
        <v>101</v>
      </c>
      <c r="AR252" s="1">
        <v>10.7</v>
      </c>
      <c r="AS252" s="1">
        <v>2.9</v>
      </c>
      <c r="AT252" s="2">
        <f>(47+61)/2</f>
        <v>54</v>
      </c>
      <c r="AU252" s="47">
        <v>54</v>
      </c>
      <c r="AV252" s="28" t="s">
        <v>101</v>
      </c>
      <c r="AW252" s="2" t="s">
        <v>840</v>
      </c>
      <c r="AX252" s="1">
        <f t="shared" si="52"/>
        <v>54.661016949152554</v>
      </c>
      <c r="AY252" s="1"/>
    </row>
    <row r="253" spans="1:51" s="2" customFormat="1" ht="27.75" customHeight="1" x14ac:dyDescent="0.35">
      <c r="A253" s="1">
        <v>51</v>
      </c>
      <c r="B253" s="2" t="s">
        <v>805</v>
      </c>
      <c r="C253" s="2" t="s">
        <v>804</v>
      </c>
      <c r="D253" s="2" t="s">
        <v>430</v>
      </c>
      <c r="E253" s="28" t="s">
        <v>874</v>
      </c>
      <c r="F253" s="2" t="s">
        <v>816</v>
      </c>
      <c r="G253" s="2" t="s">
        <v>818</v>
      </c>
      <c r="H253" s="2">
        <v>560</v>
      </c>
      <c r="I253" s="2">
        <v>110</v>
      </c>
      <c r="J253" s="2" t="s">
        <v>881</v>
      </c>
      <c r="K253" s="1">
        <v>2019</v>
      </c>
      <c r="L253" s="1">
        <v>2020</v>
      </c>
      <c r="M253" s="2" t="s">
        <v>806</v>
      </c>
      <c r="N253" s="47" t="s">
        <v>885</v>
      </c>
      <c r="O253" s="2" t="s">
        <v>823</v>
      </c>
      <c r="P253" s="47" t="s">
        <v>534</v>
      </c>
      <c r="Q253" s="26" t="s">
        <v>93</v>
      </c>
      <c r="R253" s="26">
        <v>6.9</v>
      </c>
      <c r="S253" s="1" t="s">
        <v>101</v>
      </c>
      <c r="T253" s="1" t="s">
        <v>101</v>
      </c>
      <c r="U253" s="1" t="s">
        <v>101</v>
      </c>
      <c r="V253" s="1">
        <v>7.55</v>
      </c>
      <c r="W253" s="2" t="s">
        <v>101</v>
      </c>
      <c r="X253" s="47">
        <v>170</v>
      </c>
      <c r="Y253" s="2" t="s">
        <v>837</v>
      </c>
      <c r="AA253" s="28" t="s">
        <v>306</v>
      </c>
      <c r="AB253" s="2" t="s">
        <v>839</v>
      </c>
      <c r="AC253" s="2" t="s">
        <v>683</v>
      </c>
      <c r="AD253" s="2" t="s">
        <v>828</v>
      </c>
      <c r="AE253" s="47" t="s">
        <v>1036</v>
      </c>
      <c r="AF253" s="2" t="s">
        <v>825</v>
      </c>
      <c r="AG253" s="47" t="s">
        <v>936</v>
      </c>
      <c r="AH253" s="2" t="s">
        <v>101</v>
      </c>
      <c r="AI253" s="47" t="s">
        <v>914</v>
      </c>
      <c r="AK253" s="1" t="s">
        <v>101</v>
      </c>
      <c r="AL253" s="1" t="s">
        <v>101</v>
      </c>
      <c r="AM253" s="1">
        <v>50</v>
      </c>
      <c r="AN253" s="36" t="s">
        <v>101</v>
      </c>
      <c r="AO253" s="1">
        <v>23.6</v>
      </c>
      <c r="AP253" s="1">
        <f>11+17</f>
        <v>28</v>
      </c>
      <c r="AQ253" s="36" t="s">
        <v>101</v>
      </c>
      <c r="AR253" s="1">
        <v>13.3</v>
      </c>
      <c r="AS253" s="1">
        <v>3.5</v>
      </c>
      <c r="AT253" s="2">
        <v>45</v>
      </c>
      <c r="AU253" s="47">
        <v>45</v>
      </c>
      <c r="AV253" s="28" t="s">
        <v>101</v>
      </c>
      <c r="AW253" s="2" t="s">
        <v>840</v>
      </c>
      <c r="AX253" s="1">
        <f t="shared" si="52"/>
        <v>43.644067796610173</v>
      </c>
      <c r="AY253" s="1"/>
    </row>
    <row r="254" spans="1:51" s="2" customFormat="1" ht="27.75" customHeight="1" x14ac:dyDescent="0.35">
      <c r="A254" s="1">
        <v>51</v>
      </c>
      <c r="B254" s="2" t="s">
        <v>805</v>
      </c>
      <c r="C254" s="2" t="s">
        <v>804</v>
      </c>
      <c r="D254" s="2" t="s">
        <v>430</v>
      </c>
      <c r="E254" s="28" t="s">
        <v>874</v>
      </c>
      <c r="F254" s="2" t="s">
        <v>816</v>
      </c>
      <c r="G254" s="2" t="s">
        <v>818</v>
      </c>
      <c r="H254" s="2">
        <v>560</v>
      </c>
      <c r="I254" s="2">
        <v>110</v>
      </c>
      <c r="J254" s="2" t="s">
        <v>881</v>
      </c>
      <c r="K254" s="1">
        <v>2019</v>
      </c>
      <c r="L254" s="1">
        <v>2020</v>
      </c>
      <c r="M254" s="2" t="s">
        <v>806</v>
      </c>
      <c r="N254" s="47" t="s">
        <v>885</v>
      </c>
      <c r="O254" s="2" t="s">
        <v>823</v>
      </c>
      <c r="P254" s="47" t="s">
        <v>534</v>
      </c>
      <c r="Q254" s="26" t="s">
        <v>93</v>
      </c>
      <c r="R254" s="26">
        <v>6.9</v>
      </c>
      <c r="S254" s="1" t="s">
        <v>101</v>
      </c>
      <c r="T254" s="1" t="s">
        <v>101</v>
      </c>
      <c r="U254" s="1" t="s">
        <v>101</v>
      </c>
      <c r="V254" s="1">
        <v>7.55</v>
      </c>
      <c r="W254" s="2" t="s">
        <v>101</v>
      </c>
      <c r="X254" s="47">
        <v>170</v>
      </c>
      <c r="Y254" s="2" t="s">
        <v>837</v>
      </c>
      <c r="AA254" s="28" t="s">
        <v>306</v>
      </c>
      <c r="AB254" s="2" t="s">
        <v>839</v>
      </c>
      <c r="AC254" s="2" t="s">
        <v>683</v>
      </c>
      <c r="AD254" s="2" t="s">
        <v>829</v>
      </c>
      <c r="AE254" s="47" t="s">
        <v>1036</v>
      </c>
      <c r="AF254" s="2" t="s">
        <v>825</v>
      </c>
      <c r="AG254" s="47" t="s">
        <v>936</v>
      </c>
      <c r="AH254" s="2" t="s">
        <v>830</v>
      </c>
      <c r="AI254" s="47" t="s">
        <v>937</v>
      </c>
      <c r="AK254" s="1" t="s">
        <v>101</v>
      </c>
      <c r="AL254" s="1" t="s">
        <v>101</v>
      </c>
      <c r="AM254" s="1">
        <v>50</v>
      </c>
      <c r="AN254" s="36" t="s">
        <v>101</v>
      </c>
      <c r="AO254" s="1">
        <v>23.6</v>
      </c>
      <c r="AP254" s="1">
        <f>16+26</f>
        <v>42</v>
      </c>
      <c r="AQ254" s="36" t="s">
        <v>101</v>
      </c>
      <c r="AR254" s="1">
        <v>20</v>
      </c>
      <c r="AS254" s="1">
        <v>6</v>
      </c>
      <c r="AT254" s="2">
        <f>(23+9)/2</f>
        <v>16</v>
      </c>
      <c r="AU254" s="47">
        <v>16</v>
      </c>
      <c r="AV254" s="28" t="s">
        <v>101</v>
      </c>
      <c r="AW254" s="2" t="s">
        <v>840</v>
      </c>
      <c r="AX254" s="1">
        <f t="shared" si="52"/>
        <v>15.254237288135597</v>
      </c>
      <c r="AY254" s="1"/>
    </row>
    <row r="255" spans="1:51" s="2" customFormat="1" ht="27.75" customHeight="1" x14ac:dyDescent="0.35">
      <c r="A255" s="1">
        <v>51</v>
      </c>
      <c r="B255" s="2" t="s">
        <v>805</v>
      </c>
      <c r="C255" s="2" t="s">
        <v>804</v>
      </c>
      <c r="D255" s="2" t="s">
        <v>430</v>
      </c>
      <c r="E255" s="28" t="s">
        <v>874</v>
      </c>
      <c r="F255" s="2" t="s">
        <v>816</v>
      </c>
      <c r="G255" s="2" t="s">
        <v>818</v>
      </c>
      <c r="H255" s="2">
        <v>560</v>
      </c>
      <c r="I255" s="2">
        <v>110</v>
      </c>
      <c r="J255" s="2" t="s">
        <v>881</v>
      </c>
      <c r="K255" s="1">
        <v>2019</v>
      </c>
      <c r="L255" s="1">
        <v>2020</v>
      </c>
      <c r="M255" s="2" t="s">
        <v>806</v>
      </c>
      <c r="N255" s="47" t="s">
        <v>885</v>
      </c>
      <c r="O255" s="2" t="s">
        <v>824</v>
      </c>
      <c r="P255" s="47" t="s">
        <v>894</v>
      </c>
      <c r="Q255" s="26" t="s">
        <v>93</v>
      </c>
      <c r="R255" s="26">
        <v>5.35</v>
      </c>
      <c r="S255" s="1" t="s">
        <v>101</v>
      </c>
      <c r="T255" s="1" t="s">
        <v>101</v>
      </c>
      <c r="U255" s="1" t="s">
        <v>101</v>
      </c>
      <c r="V255" s="1">
        <v>7.7</v>
      </c>
      <c r="W255" s="2" t="s">
        <v>101</v>
      </c>
      <c r="X255" s="47">
        <v>170</v>
      </c>
      <c r="Y255" s="2" t="s">
        <v>837</v>
      </c>
      <c r="AA255" s="28" t="s">
        <v>306</v>
      </c>
      <c r="AB255" s="2" t="s">
        <v>839</v>
      </c>
      <c r="AC255" s="2" t="s">
        <v>683</v>
      </c>
      <c r="AD255" s="2" t="s">
        <v>832</v>
      </c>
      <c r="AE255" s="47" t="s">
        <v>936</v>
      </c>
      <c r="AF255" s="2" t="s">
        <v>831</v>
      </c>
      <c r="AG255" s="47" t="s">
        <v>936</v>
      </c>
      <c r="AH255" s="2" t="s">
        <v>835</v>
      </c>
      <c r="AI255" s="47" t="s">
        <v>959</v>
      </c>
      <c r="AK255" s="1">
        <v>7.4</v>
      </c>
      <c r="AL255" s="1" t="s">
        <v>101</v>
      </c>
      <c r="AM255" s="1">
        <v>73</v>
      </c>
      <c r="AN255" s="36" t="s">
        <v>101</v>
      </c>
      <c r="AO255" s="1">
        <v>34.5</v>
      </c>
      <c r="AP255" s="1">
        <v>46</v>
      </c>
      <c r="AQ255" s="36" t="s">
        <v>101</v>
      </c>
      <c r="AR255" s="1">
        <v>21.8</v>
      </c>
      <c r="AS255" s="1">
        <v>6</v>
      </c>
      <c r="AT255" s="2">
        <f>(26+46)/2</f>
        <v>36</v>
      </c>
      <c r="AU255" s="47">
        <v>36</v>
      </c>
      <c r="AV255" s="28" t="s">
        <v>101</v>
      </c>
      <c r="AW255" s="2" t="s">
        <v>840</v>
      </c>
      <c r="AX255" s="1">
        <f t="shared" si="52"/>
        <v>36.811594202898554</v>
      </c>
      <c r="AY255" s="1"/>
    </row>
    <row r="256" spans="1:51" s="2" customFormat="1" ht="27.75" customHeight="1" x14ac:dyDescent="0.35">
      <c r="A256" s="1">
        <v>51</v>
      </c>
      <c r="B256" s="2" t="s">
        <v>805</v>
      </c>
      <c r="C256" s="2" t="s">
        <v>804</v>
      </c>
      <c r="D256" s="2" t="s">
        <v>430</v>
      </c>
      <c r="E256" s="28" t="s">
        <v>874</v>
      </c>
      <c r="F256" s="2" t="s">
        <v>816</v>
      </c>
      <c r="G256" s="2" t="s">
        <v>818</v>
      </c>
      <c r="H256" s="2">
        <v>560</v>
      </c>
      <c r="I256" s="2">
        <v>110</v>
      </c>
      <c r="J256" s="2" t="s">
        <v>881</v>
      </c>
      <c r="K256" s="1">
        <v>2019</v>
      </c>
      <c r="L256" s="1">
        <v>2020</v>
      </c>
      <c r="M256" s="2" t="s">
        <v>806</v>
      </c>
      <c r="N256" s="47" t="s">
        <v>885</v>
      </c>
      <c r="O256" s="2" t="s">
        <v>824</v>
      </c>
      <c r="P256" s="47" t="s">
        <v>894</v>
      </c>
      <c r="Q256" s="26" t="s">
        <v>93</v>
      </c>
      <c r="R256" s="26">
        <v>5.35</v>
      </c>
      <c r="S256" s="1" t="s">
        <v>101</v>
      </c>
      <c r="T256" s="1" t="s">
        <v>101</v>
      </c>
      <c r="U256" s="1" t="s">
        <v>101</v>
      </c>
      <c r="V256" s="1">
        <v>7.7</v>
      </c>
      <c r="W256" s="2" t="s">
        <v>101</v>
      </c>
      <c r="X256" s="47">
        <v>170</v>
      </c>
      <c r="Y256" s="2" t="s">
        <v>837</v>
      </c>
      <c r="AA256" s="28" t="s">
        <v>306</v>
      </c>
      <c r="AB256" s="2" t="s">
        <v>839</v>
      </c>
      <c r="AC256" s="2" t="s">
        <v>683</v>
      </c>
      <c r="AD256" s="2" t="s">
        <v>833</v>
      </c>
      <c r="AE256" s="47" t="s">
        <v>1036</v>
      </c>
      <c r="AF256" s="2" t="s">
        <v>831</v>
      </c>
      <c r="AG256" s="47" t="s">
        <v>936</v>
      </c>
      <c r="AH256" s="2" t="s">
        <v>101</v>
      </c>
      <c r="AI256" s="47" t="s">
        <v>538</v>
      </c>
      <c r="AK256" s="1" t="s">
        <v>101</v>
      </c>
      <c r="AL256" s="1" t="s">
        <v>101</v>
      </c>
      <c r="AM256" s="1">
        <v>73</v>
      </c>
      <c r="AN256" s="36" t="s">
        <v>101</v>
      </c>
      <c r="AO256" s="1">
        <v>34.5</v>
      </c>
      <c r="AP256" s="1">
        <f>24+33</f>
        <v>57</v>
      </c>
      <c r="AQ256" s="36" t="s">
        <v>101</v>
      </c>
      <c r="AR256" s="1">
        <v>27.2</v>
      </c>
      <c r="AS256" s="1">
        <v>6.2</v>
      </c>
      <c r="AT256" s="2">
        <f>(22+21)/2</f>
        <v>21.5</v>
      </c>
      <c r="AU256" s="47">
        <v>21.5</v>
      </c>
      <c r="AV256" s="28" t="s">
        <v>101</v>
      </c>
      <c r="AW256" s="2" t="s">
        <v>840</v>
      </c>
      <c r="AX256" s="1">
        <f t="shared" si="52"/>
        <v>21.159420289855074</v>
      </c>
      <c r="AY256" s="1"/>
    </row>
    <row r="257" spans="1:51" s="2" customFormat="1" ht="27.75" customHeight="1" x14ac:dyDescent="0.35">
      <c r="A257" s="1">
        <v>51</v>
      </c>
      <c r="B257" s="2" t="s">
        <v>805</v>
      </c>
      <c r="C257" s="2" t="s">
        <v>804</v>
      </c>
      <c r="D257" s="2" t="s">
        <v>430</v>
      </c>
      <c r="E257" s="28" t="s">
        <v>874</v>
      </c>
      <c r="F257" s="2" t="s">
        <v>816</v>
      </c>
      <c r="G257" s="2" t="s">
        <v>818</v>
      </c>
      <c r="H257" s="2">
        <v>560</v>
      </c>
      <c r="I257" s="2">
        <v>110</v>
      </c>
      <c r="J257" s="2" t="s">
        <v>881</v>
      </c>
      <c r="K257" s="1">
        <v>2019</v>
      </c>
      <c r="L257" s="1">
        <v>2020</v>
      </c>
      <c r="M257" s="2" t="s">
        <v>806</v>
      </c>
      <c r="N257" s="47" t="s">
        <v>885</v>
      </c>
      <c r="O257" s="2" t="s">
        <v>824</v>
      </c>
      <c r="P257" s="47" t="s">
        <v>894</v>
      </c>
      <c r="Q257" s="26" t="s">
        <v>93</v>
      </c>
      <c r="R257" s="26">
        <v>5.35</v>
      </c>
      <c r="S257" s="1" t="s">
        <v>101</v>
      </c>
      <c r="T257" s="1" t="s">
        <v>101</v>
      </c>
      <c r="U257" s="1" t="s">
        <v>101</v>
      </c>
      <c r="V257" s="1">
        <v>7.7</v>
      </c>
      <c r="W257" s="2" t="s">
        <v>101</v>
      </c>
      <c r="X257" s="47">
        <v>170</v>
      </c>
      <c r="Y257" s="2" t="s">
        <v>837</v>
      </c>
      <c r="AA257" s="28" t="s">
        <v>306</v>
      </c>
      <c r="AB257" s="2" t="s">
        <v>839</v>
      </c>
      <c r="AC257" s="2" t="s">
        <v>683</v>
      </c>
      <c r="AD257" s="2" t="s">
        <v>834</v>
      </c>
      <c r="AE257" s="47" t="s">
        <v>1036</v>
      </c>
      <c r="AF257" s="2" t="s">
        <v>831</v>
      </c>
      <c r="AG257" s="47" t="s">
        <v>936</v>
      </c>
      <c r="AH257" s="2" t="s">
        <v>836</v>
      </c>
      <c r="AI257" s="47" t="s">
        <v>960</v>
      </c>
      <c r="AK257" s="1" t="s">
        <v>101</v>
      </c>
      <c r="AL257" s="1" t="s">
        <v>101</v>
      </c>
      <c r="AM257" s="1">
        <v>73</v>
      </c>
      <c r="AN257" s="36" t="s">
        <v>101</v>
      </c>
      <c r="AO257" s="1">
        <v>34.5</v>
      </c>
      <c r="AP257" s="1">
        <f>20+35</f>
        <v>55</v>
      </c>
      <c r="AQ257" s="36" t="s">
        <v>101</v>
      </c>
      <c r="AR257" s="1">
        <v>26.2</v>
      </c>
      <c r="AS257" s="1">
        <v>6.1</v>
      </c>
      <c r="AT257" s="2">
        <f>(34+15)/2</f>
        <v>24.5</v>
      </c>
      <c r="AU257" s="47">
        <v>24.5</v>
      </c>
      <c r="AV257" s="28" t="s">
        <v>101</v>
      </c>
      <c r="AW257" s="2" t="s">
        <v>840</v>
      </c>
      <c r="AX257" s="1">
        <f t="shared" si="52"/>
        <v>24.057971014492754</v>
      </c>
      <c r="AY257" s="1"/>
    </row>
    <row r="258" spans="1:51" s="2" customFormat="1" ht="27.75" customHeight="1" x14ac:dyDescent="0.35">
      <c r="A258" s="1">
        <v>51</v>
      </c>
      <c r="B258" s="2" t="s">
        <v>805</v>
      </c>
      <c r="C258" s="2" t="s">
        <v>804</v>
      </c>
      <c r="D258" s="2" t="s">
        <v>430</v>
      </c>
      <c r="E258" s="28" t="s">
        <v>874</v>
      </c>
      <c r="F258" s="2" t="s">
        <v>819</v>
      </c>
      <c r="G258" s="2" t="s">
        <v>820</v>
      </c>
      <c r="H258" s="2">
        <v>650</v>
      </c>
      <c r="I258" s="2">
        <v>110</v>
      </c>
      <c r="J258" s="2" t="s">
        <v>881</v>
      </c>
      <c r="K258" s="1">
        <v>2019</v>
      </c>
      <c r="L258" s="1">
        <v>2020</v>
      </c>
      <c r="M258" s="2" t="s">
        <v>806</v>
      </c>
      <c r="N258" s="47" t="s">
        <v>885</v>
      </c>
      <c r="O258" s="2" t="s">
        <v>823</v>
      </c>
      <c r="P258" s="47" t="s">
        <v>534</v>
      </c>
      <c r="Q258" s="26" t="s">
        <v>93</v>
      </c>
      <c r="R258" s="26">
        <v>8.65</v>
      </c>
      <c r="S258" s="1" t="s">
        <v>101</v>
      </c>
      <c r="T258" s="1" t="s">
        <v>101</v>
      </c>
      <c r="U258" s="1" t="s">
        <v>101</v>
      </c>
      <c r="V258" s="1">
        <v>7.85</v>
      </c>
      <c r="W258" s="2" t="s">
        <v>101</v>
      </c>
      <c r="X258" s="47">
        <v>170</v>
      </c>
      <c r="Y258" s="15" t="s">
        <v>838</v>
      </c>
      <c r="Z258" s="15"/>
      <c r="AA258" s="28" t="s">
        <v>306</v>
      </c>
      <c r="AB258" s="2" t="s">
        <v>839</v>
      </c>
      <c r="AC258" s="2" t="s">
        <v>683</v>
      </c>
      <c r="AD258" s="2" t="s">
        <v>826</v>
      </c>
      <c r="AE258" s="47" t="s">
        <v>936</v>
      </c>
      <c r="AF258" s="2" t="s">
        <v>825</v>
      </c>
      <c r="AG258" s="47" t="s">
        <v>936</v>
      </c>
      <c r="AH258" s="2" t="s">
        <v>827</v>
      </c>
      <c r="AI258" s="47" t="s">
        <v>924</v>
      </c>
      <c r="AK258" s="1">
        <v>3.9</v>
      </c>
      <c r="AL258" s="1" t="s">
        <v>101</v>
      </c>
      <c r="AM258" s="1">
        <v>78</v>
      </c>
      <c r="AN258" s="36" t="s">
        <v>101</v>
      </c>
      <c r="AO258" s="1">
        <v>38.1</v>
      </c>
      <c r="AP258" s="1">
        <f>42+14</f>
        <v>56</v>
      </c>
      <c r="AQ258" s="36" t="s">
        <v>101</v>
      </c>
      <c r="AR258" s="1">
        <v>25.8</v>
      </c>
      <c r="AS258" s="1">
        <v>13.6</v>
      </c>
      <c r="AT258" s="2">
        <f>71/2</f>
        <v>35.5</v>
      </c>
      <c r="AU258" s="47">
        <v>35.5</v>
      </c>
      <c r="AV258" s="28" t="s">
        <v>101</v>
      </c>
      <c r="AW258" s="2" t="s">
        <v>840</v>
      </c>
      <c r="AX258" s="1">
        <f t="shared" si="52"/>
        <v>32.283464566929133</v>
      </c>
      <c r="AY258" s="1"/>
    </row>
    <row r="259" spans="1:51" s="2" customFormat="1" ht="27.75" customHeight="1" x14ac:dyDescent="0.35">
      <c r="A259" s="1">
        <v>51</v>
      </c>
      <c r="B259" s="2" t="s">
        <v>805</v>
      </c>
      <c r="C259" s="2" t="s">
        <v>804</v>
      </c>
      <c r="D259" s="2" t="s">
        <v>430</v>
      </c>
      <c r="E259" s="28" t="s">
        <v>874</v>
      </c>
      <c r="F259" s="2" t="s">
        <v>819</v>
      </c>
      <c r="G259" s="2" t="s">
        <v>820</v>
      </c>
      <c r="H259" s="2">
        <v>650</v>
      </c>
      <c r="I259" s="2">
        <v>110</v>
      </c>
      <c r="J259" s="2" t="s">
        <v>881</v>
      </c>
      <c r="K259" s="1">
        <v>2019</v>
      </c>
      <c r="L259" s="1">
        <v>2020</v>
      </c>
      <c r="M259" s="2" t="s">
        <v>806</v>
      </c>
      <c r="N259" s="47" t="s">
        <v>885</v>
      </c>
      <c r="O259" s="2" t="s">
        <v>823</v>
      </c>
      <c r="P259" s="47" t="s">
        <v>534</v>
      </c>
      <c r="Q259" s="26" t="s">
        <v>93</v>
      </c>
      <c r="R259" s="26">
        <v>8.65</v>
      </c>
      <c r="S259" s="1" t="s">
        <v>101</v>
      </c>
      <c r="T259" s="1" t="s">
        <v>101</v>
      </c>
      <c r="U259" s="1" t="s">
        <v>101</v>
      </c>
      <c r="V259" s="1">
        <v>7.85</v>
      </c>
      <c r="W259" s="2" t="s">
        <v>101</v>
      </c>
      <c r="X259" s="47">
        <v>170</v>
      </c>
      <c r="Y259" s="15" t="s">
        <v>838</v>
      </c>
      <c r="Z259" s="15"/>
      <c r="AA259" s="28" t="s">
        <v>306</v>
      </c>
      <c r="AB259" s="2" t="s">
        <v>839</v>
      </c>
      <c r="AC259" s="2" t="s">
        <v>683</v>
      </c>
      <c r="AD259" s="2" t="s">
        <v>828</v>
      </c>
      <c r="AE259" s="47" t="s">
        <v>1036</v>
      </c>
      <c r="AF259" s="2" t="s">
        <v>825</v>
      </c>
      <c r="AG259" s="47" t="s">
        <v>936</v>
      </c>
      <c r="AH259" s="2" t="s">
        <v>101</v>
      </c>
      <c r="AI259" s="47" t="s">
        <v>914</v>
      </c>
      <c r="AK259" s="1" t="s">
        <v>101</v>
      </c>
      <c r="AL259" s="1" t="s">
        <v>101</v>
      </c>
      <c r="AM259" s="1">
        <v>78</v>
      </c>
      <c r="AN259" s="36" t="s">
        <v>101</v>
      </c>
      <c r="AO259" s="1">
        <v>38.1</v>
      </c>
      <c r="AP259" s="1">
        <f>27+35</f>
        <v>62</v>
      </c>
      <c r="AQ259" s="36" t="s">
        <v>101</v>
      </c>
      <c r="AR259" s="1">
        <v>29.7</v>
      </c>
      <c r="AS259" s="1">
        <v>6.7</v>
      </c>
      <c r="AT259" s="2">
        <v>20</v>
      </c>
      <c r="AU259" s="47">
        <v>20</v>
      </c>
      <c r="AV259" s="28" t="s">
        <v>101</v>
      </c>
      <c r="AW259" s="2" t="s">
        <v>840</v>
      </c>
      <c r="AX259" s="1">
        <f t="shared" si="52"/>
        <v>22.047244094488192</v>
      </c>
      <c r="AY259" s="1"/>
    </row>
    <row r="260" spans="1:51" s="2" customFormat="1" ht="27.75" customHeight="1" x14ac:dyDescent="0.35">
      <c r="A260" s="1">
        <v>51</v>
      </c>
      <c r="B260" s="2" t="s">
        <v>805</v>
      </c>
      <c r="C260" s="2" t="s">
        <v>804</v>
      </c>
      <c r="D260" s="2" t="s">
        <v>430</v>
      </c>
      <c r="E260" s="28" t="s">
        <v>874</v>
      </c>
      <c r="F260" s="2" t="s">
        <v>819</v>
      </c>
      <c r="G260" s="2" t="s">
        <v>820</v>
      </c>
      <c r="H260" s="2">
        <v>650</v>
      </c>
      <c r="I260" s="2">
        <v>110</v>
      </c>
      <c r="J260" s="2" t="s">
        <v>881</v>
      </c>
      <c r="K260" s="1">
        <v>2019</v>
      </c>
      <c r="L260" s="1">
        <v>2020</v>
      </c>
      <c r="M260" s="2" t="s">
        <v>806</v>
      </c>
      <c r="N260" s="47" t="s">
        <v>885</v>
      </c>
      <c r="O260" s="2" t="s">
        <v>823</v>
      </c>
      <c r="P260" s="47" t="s">
        <v>534</v>
      </c>
      <c r="Q260" s="26" t="s">
        <v>93</v>
      </c>
      <c r="R260" s="26">
        <v>8.65</v>
      </c>
      <c r="S260" s="1" t="s">
        <v>101</v>
      </c>
      <c r="T260" s="1" t="s">
        <v>101</v>
      </c>
      <c r="U260" s="1" t="s">
        <v>101</v>
      </c>
      <c r="V260" s="1">
        <v>7.85</v>
      </c>
      <c r="W260" s="2" t="s">
        <v>101</v>
      </c>
      <c r="X260" s="47">
        <v>170</v>
      </c>
      <c r="Y260" s="15" t="s">
        <v>838</v>
      </c>
      <c r="Z260" s="15"/>
      <c r="AA260" s="28" t="s">
        <v>306</v>
      </c>
      <c r="AB260" s="2" t="s">
        <v>839</v>
      </c>
      <c r="AC260" s="2" t="s">
        <v>683</v>
      </c>
      <c r="AD260" s="2" t="s">
        <v>829</v>
      </c>
      <c r="AE260" s="47" t="s">
        <v>1036</v>
      </c>
      <c r="AF260" s="2" t="s">
        <v>825</v>
      </c>
      <c r="AG260" s="47" t="s">
        <v>936</v>
      </c>
      <c r="AH260" s="2" t="s">
        <v>830</v>
      </c>
      <c r="AI260" s="47" t="s">
        <v>937</v>
      </c>
      <c r="AK260" s="1" t="s">
        <v>101</v>
      </c>
      <c r="AL260" s="1" t="s">
        <v>101</v>
      </c>
      <c r="AM260" s="1">
        <v>78</v>
      </c>
      <c r="AN260" s="36" t="s">
        <v>101</v>
      </c>
      <c r="AO260" s="1">
        <v>38.1</v>
      </c>
      <c r="AP260" s="1">
        <f>30+31</f>
        <v>61</v>
      </c>
      <c r="AQ260" s="36" t="s">
        <v>101</v>
      </c>
      <c r="AR260" s="1">
        <v>29.8</v>
      </c>
      <c r="AS260" s="1">
        <v>4.7</v>
      </c>
      <c r="AT260" s="2">
        <f>41/2</f>
        <v>20.5</v>
      </c>
      <c r="AU260" s="47">
        <v>20.5</v>
      </c>
      <c r="AV260" s="28" t="s">
        <v>101</v>
      </c>
      <c r="AW260" s="2" t="s">
        <v>840</v>
      </c>
      <c r="AX260" s="1">
        <f t="shared" si="52"/>
        <v>21.784776902887142</v>
      </c>
      <c r="AY260" s="1"/>
    </row>
    <row r="261" spans="1:51" s="2" customFormat="1" ht="27.75" customHeight="1" x14ac:dyDescent="0.35">
      <c r="A261" s="1">
        <v>51</v>
      </c>
      <c r="B261" s="2" t="s">
        <v>805</v>
      </c>
      <c r="C261" s="2" t="s">
        <v>804</v>
      </c>
      <c r="D261" s="2" t="s">
        <v>430</v>
      </c>
      <c r="E261" s="28" t="s">
        <v>874</v>
      </c>
      <c r="F261" s="2" t="s">
        <v>819</v>
      </c>
      <c r="G261" s="2" t="s">
        <v>820</v>
      </c>
      <c r="H261" s="2">
        <v>650</v>
      </c>
      <c r="I261" s="2">
        <v>110</v>
      </c>
      <c r="J261" s="2" t="s">
        <v>881</v>
      </c>
      <c r="K261" s="1">
        <v>2019</v>
      </c>
      <c r="L261" s="1">
        <v>2020</v>
      </c>
      <c r="M261" s="2" t="s">
        <v>806</v>
      </c>
      <c r="N261" s="47" t="s">
        <v>885</v>
      </c>
      <c r="O261" s="2" t="s">
        <v>824</v>
      </c>
      <c r="P261" s="47" t="s">
        <v>894</v>
      </c>
      <c r="Q261" s="26" t="s">
        <v>93</v>
      </c>
      <c r="R261" s="26">
        <v>4.55</v>
      </c>
      <c r="S261" s="1" t="s">
        <v>101</v>
      </c>
      <c r="T261" s="1" t="s">
        <v>101</v>
      </c>
      <c r="U261" s="1" t="s">
        <v>101</v>
      </c>
      <c r="V261" s="1">
        <v>7.75</v>
      </c>
      <c r="W261" s="2" t="s">
        <v>101</v>
      </c>
      <c r="X261" s="47">
        <v>170</v>
      </c>
      <c r="Y261" s="15" t="s">
        <v>838</v>
      </c>
      <c r="Z261" s="15"/>
      <c r="AA261" s="28" t="s">
        <v>306</v>
      </c>
      <c r="AB261" s="2" t="s">
        <v>839</v>
      </c>
      <c r="AC261" s="2" t="s">
        <v>683</v>
      </c>
      <c r="AD261" s="2" t="s">
        <v>832</v>
      </c>
      <c r="AE261" s="47" t="s">
        <v>936</v>
      </c>
      <c r="AF261" s="2" t="s">
        <v>831</v>
      </c>
      <c r="AG261" s="47" t="s">
        <v>936</v>
      </c>
      <c r="AH261" s="2" t="s">
        <v>835</v>
      </c>
      <c r="AI261" s="47" t="s">
        <v>959</v>
      </c>
      <c r="AK261" s="1">
        <v>5.5</v>
      </c>
      <c r="AL261" s="1" t="s">
        <v>101</v>
      </c>
      <c r="AM261" s="1">
        <v>86</v>
      </c>
      <c r="AN261" s="36" t="s">
        <v>101</v>
      </c>
      <c r="AO261" s="1">
        <v>47.2</v>
      </c>
      <c r="AP261" s="1">
        <f>7+16</f>
        <v>23</v>
      </c>
      <c r="AQ261" s="36" t="s">
        <v>101</v>
      </c>
      <c r="AR261" s="1">
        <v>13.1</v>
      </c>
      <c r="AS261" s="1">
        <v>9.6999999999999993</v>
      </c>
      <c r="AT261" s="2">
        <f>(83+61)/2</f>
        <v>72</v>
      </c>
      <c r="AU261" s="47">
        <v>72</v>
      </c>
      <c r="AV261" s="28" t="s">
        <v>101</v>
      </c>
      <c r="AW261" s="2" t="s">
        <v>840</v>
      </c>
      <c r="AX261" s="1">
        <f t="shared" si="52"/>
        <v>72.245762711864401</v>
      </c>
      <c r="AY261" s="1"/>
    </row>
    <row r="262" spans="1:51" s="2" customFormat="1" ht="27.75" customHeight="1" x14ac:dyDescent="0.35">
      <c r="A262" s="1">
        <v>51</v>
      </c>
      <c r="B262" s="2" t="s">
        <v>805</v>
      </c>
      <c r="C262" s="2" t="s">
        <v>804</v>
      </c>
      <c r="D262" s="2" t="s">
        <v>430</v>
      </c>
      <c r="E262" s="28" t="s">
        <v>874</v>
      </c>
      <c r="F262" s="2" t="s">
        <v>819</v>
      </c>
      <c r="G262" s="2" t="s">
        <v>820</v>
      </c>
      <c r="H262" s="2">
        <v>650</v>
      </c>
      <c r="I262" s="2">
        <v>110</v>
      </c>
      <c r="J262" s="2" t="s">
        <v>881</v>
      </c>
      <c r="K262" s="1">
        <v>2019</v>
      </c>
      <c r="L262" s="1">
        <v>2020</v>
      </c>
      <c r="M262" s="2" t="s">
        <v>806</v>
      </c>
      <c r="N262" s="47" t="s">
        <v>885</v>
      </c>
      <c r="O262" s="2" t="s">
        <v>824</v>
      </c>
      <c r="P262" s="47" t="s">
        <v>894</v>
      </c>
      <c r="Q262" s="26" t="s">
        <v>93</v>
      </c>
      <c r="R262" s="26">
        <v>4.55</v>
      </c>
      <c r="S262" s="1" t="s">
        <v>101</v>
      </c>
      <c r="T262" s="1" t="s">
        <v>101</v>
      </c>
      <c r="U262" s="1" t="s">
        <v>101</v>
      </c>
      <c r="V262" s="1">
        <v>7.75</v>
      </c>
      <c r="W262" s="2" t="s">
        <v>101</v>
      </c>
      <c r="X262" s="47">
        <v>170</v>
      </c>
      <c r="Y262" s="15" t="s">
        <v>838</v>
      </c>
      <c r="Z262" s="15"/>
      <c r="AA262" s="28" t="s">
        <v>306</v>
      </c>
      <c r="AB262" s="2" t="s">
        <v>839</v>
      </c>
      <c r="AC262" s="2" t="s">
        <v>683</v>
      </c>
      <c r="AD262" s="2" t="s">
        <v>833</v>
      </c>
      <c r="AE262" s="47" t="s">
        <v>1036</v>
      </c>
      <c r="AF262" s="2" t="s">
        <v>831</v>
      </c>
      <c r="AG262" s="47" t="s">
        <v>936</v>
      </c>
      <c r="AH262" s="2" t="s">
        <v>101</v>
      </c>
      <c r="AI262" s="47" t="s">
        <v>538</v>
      </c>
      <c r="AK262" s="1" t="s">
        <v>101</v>
      </c>
      <c r="AL262" s="1" t="s">
        <v>101</v>
      </c>
      <c r="AM262" s="1">
        <v>86</v>
      </c>
      <c r="AN262" s="36" t="s">
        <v>101</v>
      </c>
      <c r="AO262" s="1">
        <v>47.2</v>
      </c>
      <c r="AP262" s="1">
        <f>35+41</f>
        <v>76</v>
      </c>
      <c r="AQ262" s="36" t="s">
        <v>101</v>
      </c>
      <c r="AR262" s="1">
        <v>41.5</v>
      </c>
      <c r="AS262" s="1">
        <v>9.6</v>
      </c>
      <c r="AT262" s="2">
        <f>23/2</f>
        <v>11.5</v>
      </c>
      <c r="AU262" s="47">
        <v>11.5</v>
      </c>
      <c r="AV262" s="28" t="s">
        <v>101</v>
      </c>
      <c r="AW262" s="2" t="s">
        <v>840</v>
      </c>
      <c r="AX262" s="1">
        <f t="shared" si="52"/>
        <v>12.076271186440684</v>
      </c>
      <c r="AY262" s="1"/>
    </row>
    <row r="263" spans="1:51" s="2" customFormat="1" ht="27.75" customHeight="1" x14ac:dyDescent="0.35">
      <c r="A263" s="1">
        <v>51</v>
      </c>
      <c r="B263" s="2" t="s">
        <v>805</v>
      </c>
      <c r="C263" s="2" t="s">
        <v>804</v>
      </c>
      <c r="D263" s="2" t="s">
        <v>430</v>
      </c>
      <c r="E263" s="28" t="s">
        <v>874</v>
      </c>
      <c r="F263" s="2" t="s">
        <v>819</v>
      </c>
      <c r="G263" s="2" t="s">
        <v>820</v>
      </c>
      <c r="H263" s="2">
        <v>650</v>
      </c>
      <c r="I263" s="2">
        <v>110</v>
      </c>
      <c r="J263" s="2" t="s">
        <v>881</v>
      </c>
      <c r="K263" s="1">
        <v>2019</v>
      </c>
      <c r="L263" s="1">
        <v>2020</v>
      </c>
      <c r="M263" s="2" t="s">
        <v>806</v>
      </c>
      <c r="N263" s="47" t="s">
        <v>885</v>
      </c>
      <c r="O263" s="2" t="s">
        <v>824</v>
      </c>
      <c r="P263" s="47" t="s">
        <v>894</v>
      </c>
      <c r="Q263" s="26" t="s">
        <v>93</v>
      </c>
      <c r="R263" s="26">
        <v>4.55</v>
      </c>
      <c r="S263" s="1" t="s">
        <v>101</v>
      </c>
      <c r="T263" s="1" t="s">
        <v>101</v>
      </c>
      <c r="U263" s="1" t="s">
        <v>101</v>
      </c>
      <c r="V263" s="1">
        <v>7.75</v>
      </c>
      <c r="W263" s="2" t="s">
        <v>101</v>
      </c>
      <c r="X263" s="47">
        <v>170</v>
      </c>
      <c r="Y263" s="15" t="s">
        <v>838</v>
      </c>
      <c r="Z263" s="15"/>
      <c r="AA263" s="28" t="s">
        <v>306</v>
      </c>
      <c r="AB263" s="2" t="s">
        <v>839</v>
      </c>
      <c r="AC263" s="2" t="s">
        <v>683</v>
      </c>
      <c r="AD263" s="2" t="s">
        <v>834</v>
      </c>
      <c r="AE263" s="47" t="s">
        <v>1036</v>
      </c>
      <c r="AF263" s="2" t="s">
        <v>831</v>
      </c>
      <c r="AG263" s="47" t="s">
        <v>936</v>
      </c>
      <c r="AH263" s="2" t="s">
        <v>836</v>
      </c>
      <c r="AI263" s="47" t="s">
        <v>960</v>
      </c>
      <c r="AK263" s="1" t="s">
        <v>101</v>
      </c>
      <c r="AL263" s="1" t="s">
        <v>101</v>
      </c>
      <c r="AM263" s="1">
        <v>86</v>
      </c>
      <c r="AN263" s="36" t="s">
        <v>101</v>
      </c>
      <c r="AO263" s="1">
        <v>47.2</v>
      </c>
      <c r="AP263" s="1">
        <f>32+49</f>
        <v>81</v>
      </c>
      <c r="AQ263" s="36" t="s">
        <v>101</v>
      </c>
      <c r="AR263" s="1">
        <v>44.2</v>
      </c>
      <c r="AS263" s="1">
        <v>7.2</v>
      </c>
      <c r="AT263" s="2">
        <f>(25-13)/2</f>
        <v>6</v>
      </c>
      <c r="AU263" s="47">
        <v>6</v>
      </c>
      <c r="AV263" s="28" t="s">
        <v>101</v>
      </c>
      <c r="AW263" s="2" t="s">
        <v>840</v>
      </c>
      <c r="AX263" s="1">
        <f t="shared" si="52"/>
        <v>6.3559322033898304</v>
      </c>
      <c r="AY263" s="1"/>
    </row>
    <row r="264" spans="1:51" s="2" customFormat="1" ht="27.75" customHeight="1" x14ac:dyDescent="0.35">
      <c r="A264" s="1">
        <v>51</v>
      </c>
      <c r="B264" s="2" t="s">
        <v>805</v>
      </c>
      <c r="C264" s="2" t="s">
        <v>804</v>
      </c>
      <c r="D264" s="2" t="s">
        <v>430</v>
      </c>
      <c r="E264" s="28" t="s">
        <v>874</v>
      </c>
      <c r="F264" s="2" t="s">
        <v>821</v>
      </c>
      <c r="G264" s="2" t="s">
        <v>822</v>
      </c>
      <c r="H264" s="2">
        <v>760</v>
      </c>
      <c r="I264" s="2">
        <v>70</v>
      </c>
      <c r="J264" s="2" t="s">
        <v>880</v>
      </c>
      <c r="K264" s="1">
        <v>2019</v>
      </c>
      <c r="L264" s="1">
        <v>2020</v>
      </c>
      <c r="M264" s="2" t="s">
        <v>806</v>
      </c>
      <c r="N264" s="47" t="s">
        <v>885</v>
      </c>
      <c r="O264" s="2" t="s">
        <v>823</v>
      </c>
      <c r="P264" s="47" t="s">
        <v>534</v>
      </c>
      <c r="Q264" s="26" t="s">
        <v>93</v>
      </c>
      <c r="R264" s="26">
        <v>8.9</v>
      </c>
      <c r="S264" s="1" t="s">
        <v>101</v>
      </c>
      <c r="T264" s="1" t="s">
        <v>101</v>
      </c>
      <c r="U264" s="1" t="s">
        <v>101</v>
      </c>
      <c r="V264" s="1">
        <v>7.6</v>
      </c>
      <c r="W264" s="2" t="s">
        <v>101</v>
      </c>
      <c r="X264" s="47">
        <v>170</v>
      </c>
      <c r="Y264" s="15" t="s">
        <v>838</v>
      </c>
      <c r="Z264" s="15"/>
      <c r="AA264" s="28" t="s">
        <v>306</v>
      </c>
      <c r="AB264" s="2" t="s">
        <v>839</v>
      </c>
      <c r="AC264" s="2" t="s">
        <v>683</v>
      </c>
      <c r="AD264" s="2" t="s">
        <v>826</v>
      </c>
      <c r="AE264" s="47" t="s">
        <v>936</v>
      </c>
      <c r="AF264" s="2" t="s">
        <v>825</v>
      </c>
      <c r="AG264" s="47" t="s">
        <v>936</v>
      </c>
      <c r="AH264" s="2" t="s">
        <v>827</v>
      </c>
      <c r="AI264" s="47" t="s">
        <v>924</v>
      </c>
      <c r="AK264" s="1">
        <v>4.75</v>
      </c>
      <c r="AL264" s="1" t="s">
        <v>101</v>
      </c>
      <c r="AM264" s="1">
        <v>55</v>
      </c>
      <c r="AN264" s="36" t="s">
        <v>101</v>
      </c>
      <c r="AO264" s="1">
        <v>26</v>
      </c>
      <c r="AP264" s="1">
        <f>20-3</f>
        <v>17</v>
      </c>
      <c r="AQ264" s="36" t="s">
        <v>101</v>
      </c>
      <c r="AR264" s="1">
        <v>8.3000000000000007</v>
      </c>
      <c r="AS264" s="1">
        <v>8.5</v>
      </c>
      <c r="AT264" s="2">
        <f>(44+116)/2</f>
        <v>80</v>
      </c>
      <c r="AU264" s="47">
        <v>80</v>
      </c>
      <c r="AV264" s="28" t="s">
        <v>101</v>
      </c>
      <c r="AW264" s="2" t="s">
        <v>840</v>
      </c>
      <c r="AX264" s="1">
        <f t="shared" si="52"/>
        <v>68.07692307692308</v>
      </c>
      <c r="AY264" s="1"/>
    </row>
    <row r="265" spans="1:51" s="2" customFormat="1" ht="27.75" customHeight="1" x14ac:dyDescent="0.35">
      <c r="A265" s="1">
        <v>51</v>
      </c>
      <c r="B265" s="2" t="s">
        <v>805</v>
      </c>
      <c r="C265" s="2" t="s">
        <v>804</v>
      </c>
      <c r="D265" s="2" t="s">
        <v>430</v>
      </c>
      <c r="E265" s="28" t="s">
        <v>874</v>
      </c>
      <c r="F265" s="2" t="s">
        <v>821</v>
      </c>
      <c r="G265" s="2" t="s">
        <v>822</v>
      </c>
      <c r="H265" s="2">
        <v>760</v>
      </c>
      <c r="I265" s="2">
        <v>70</v>
      </c>
      <c r="J265" s="2" t="s">
        <v>880</v>
      </c>
      <c r="K265" s="1">
        <v>2019</v>
      </c>
      <c r="L265" s="1">
        <v>2020</v>
      </c>
      <c r="M265" s="2" t="s">
        <v>806</v>
      </c>
      <c r="N265" s="47" t="s">
        <v>885</v>
      </c>
      <c r="O265" s="2" t="s">
        <v>823</v>
      </c>
      <c r="P265" s="47" t="s">
        <v>534</v>
      </c>
      <c r="Q265" s="26" t="s">
        <v>93</v>
      </c>
      <c r="R265" s="26">
        <v>8.9</v>
      </c>
      <c r="S265" s="1" t="s">
        <v>101</v>
      </c>
      <c r="T265" s="1" t="s">
        <v>101</v>
      </c>
      <c r="U265" s="1" t="s">
        <v>101</v>
      </c>
      <c r="V265" s="1">
        <v>7.6</v>
      </c>
      <c r="W265" s="2" t="s">
        <v>101</v>
      </c>
      <c r="X265" s="47">
        <v>170</v>
      </c>
      <c r="Y265" s="15" t="s">
        <v>838</v>
      </c>
      <c r="Z265" s="15"/>
      <c r="AA265" s="28" t="s">
        <v>306</v>
      </c>
      <c r="AB265" s="2" t="s">
        <v>839</v>
      </c>
      <c r="AC265" s="2" t="s">
        <v>683</v>
      </c>
      <c r="AD265" s="2" t="s">
        <v>828</v>
      </c>
      <c r="AE265" s="47" t="s">
        <v>1036</v>
      </c>
      <c r="AF265" s="2" t="s">
        <v>825</v>
      </c>
      <c r="AG265" s="47" t="s">
        <v>936</v>
      </c>
      <c r="AH265" s="2" t="s">
        <v>101</v>
      </c>
      <c r="AI265" s="47" t="s">
        <v>914</v>
      </c>
      <c r="AK265" s="1" t="s">
        <v>101</v>
      </c>
      <c r="AL265" s="1" t="s">
        <v>101</v>
      </c>
      <c r="AM265" s="1">
        <v>55</v>
      </c>
      <c r="AN265" s="36" t="s">
        <v>101</v>
      </c>
      <c r="AO265" s="1">
        <v>26</v>
      </c>
      <c r="AP265" s="1">
        <f>37+13</f>
        <v>50</v>
      </c>
      <c r="AQ265" s="36" t="s">
        <v>101</v>
      </c>
      <c r="AR265" s="1">
        <v>24.1</v>
      </c>
      <c r="AS265" s="1">
        <v>4</v>
      </c>
      <c r="AT265" s="2">
        <f>24/2</f>
        <v>12</v>
      </c>
      <c r="AU265" s="47">
        <v>12</v>
      </c>
      <c r="AV265" s="28" t="s">
        <v>101</v>
      </c>
      <c r="AW265" s="2" t="s">
        <v>840</v>
      </c>
      <c r="AX265" s="1">
        <f t="shared" si="52"/>
        <v>7.3076923076923022</v>
      </c>
      <c r="AY265" s="1"/>
    </row>
    <row r="266" spans="1:51" s="2" customFormat="1" ht="27.75" customHeight="1" x14ac:dyDescent="0.35">
      <c r="A266" s="1">
        <v>51</v>
      </c>
      <c r="B266" s="2" t="s">
        <v>805</v>
      </c>
      <c r="C266" s="2" t="s">
        <v>804</v>
      </c>
      <c r="D266" s="2" t="s">
        <v>430</v>
      </c>
      <c r="E266" s="28" t="s">
        <v>874</v>
      </c>
      <c r="F266" s="2" t="s">
        <v>821</v>
      </c>
      <c r="G266" s="2" t="s">
        <v>822</v>
      </c>
      <c r="H266" s="2">
        <v>760</v>
      </c>
      <c r="I266" s="2">
        <v>70</v>
      </c>
      <c r="J266" s="2" t="s">
        <v>880</v>
      </c>
      <c r="K266" s="1">
        <v>2019</v>
      </c>
      <c r="L266" s="1">
        <v>2020</v>
      </c>
      <c r="M266" s="2" t="s">
        <v>806</v>
      </c>
      <c r="N266" s="47" t="s">
        <v>885</v>
      </c>
      <c r="O266" s="2" t="s">
        <v>823</v>
      </c>
      <c r="P266" s="47" t="s">
        <v>534</v>
      </c>
      <c r="Q266" s="26" t="s">
        <v>93</v>
      </c>
      <c r="R266" s="26">
        <v>8.9</v>
      </c>
      <c r="S266" s="1" t="s">
        <v>101</v>
      </c>
      <c r="T266" s="1" t="s">
        <v>101</v>
      </c>
      <c r="U266" s="1" t="s">
        <v>101</v>
      </c>
      <c r="V266" s="1">
        <v>7.6</v>
      </c>
      <c r="W266" s="2" t="s">
        <v>101</v>
      </c>
      <c r="X266" s="47">
        <v>170</v>
      </c>
      <c r="Y266" s="15" t="s">
        <v>838</v>
      </c>
      <c r="Z266" s="15"/>
      <c r="AA266" s="28" t="s">
        <v>306</v>
      </c>
      <c r="AB266" s="2" t="s">
        <v>839</v>
      </c>
      <c r="AC266" s="2" t="s">
        <v>683</v>
      </c>
      <c r="AD266" s="2" t="s">
        <v>829</v>
      </c>
      <c r="AE266" s="47" t="s">
        <v>1036</v>
      </c>
      <c r="AF266" s="2" t="s">
        <v>825</v>
      </c>
      <c r="AG266" s="47" t="s">
        <v>936</v>
      </c>
      <c r="AH266" s="2" t="s">
        <v>830</v>
      </c>
      <c r="AI266" s="47" t="s">
        <v>937</v>
      </c>
      <c r="AK266" s="1" t="s">
        <v>101</v>
      </c>
      <c r="AL266" s="1" t="s">
        <v>101</v>
      </c>
      <c r="AM266" s="1">
        <v>55</v>
      </c>
      <c r="AN266" s="36" t="s">
        <v>101</v>
      </c>
      <c r="AO266" s="1">
        <v>26</v>
      </c>
      <c r="AP266" s="1">
        <v>35</v>
      </c>
      <c r="AQ266" s="36" t="s">
        <v>101</v>
      </c>
      <c r="AR266" s="1">
        <v>16.7</v>
      </c>
      <c r="AS266" s="1">
        <v>4.7</v>
      </c>
      <c r="AT266" s="2">
        <f>(45+17)/2</f>
        <v>31</v>
      </c>
      <c r="AU266" s="47">
        <v>31</v>
      </c>
      <c r="AV266" s="28" t="s">
        <v>101</v>
      </c>
      <c r="AW266" s="2" t="s">
        <v>840</v>
      </c>
      <c r="AX266" s="1">
        <f t="shared" si="52"/>
        <v>35.769230769230766</v>
      </c>
      <c r="AY266" s="1"/>
    </row>
    <row r="267" spans="1:51" s="2" customFormat="1" ht="27.75" customHeight="1" x14ac:dyDescent="0.35">
      <c r="A267" s="1">
        <v>51</v>
      </c>
      <c r="B267" s="2" t="s">
        <v>805</v>
      </c>
      <c r="C267" s="2" t="s">
        <v>804</v>
      </c>
      <c r="D267" s="2" t="s">
        <v>430</v>
      </c>
      <c r="E267" s="28" t="s">
        <v>874</v>
      </c>
      <c r="F267" s="2" t="s">
        <v>821</v>
      </c>
      <c r="G267" s="2" t="s">
        <v>822</v>
      </c>
      <c r="H267" s="2">
        <v>760</v>
      </c>
      <c r="I267" s="2">
        <v>70</v>
      </c>
      <c r="J267" s="2" t="s">
        <v>880</v>
      </c>
      <c r="K267" s="1">
        <v>2019</v>
      </c>
      <c r="L267" s="1">
        <v>2020</v>
      </c>
      <c r="M267" s="2" t="s">
        <v>806</v>
      </c>
      <c r="N267" s="47" t="s">
        <v>885</v>
      </c>
      <c r="O267" s="2" t="s">
        <v>824</v>
      </c>
      <c r="P267" s="47" t="s">
        <v>894</v>
      </c>
      <c r="Q267" s="26" t="s">
        <v>93</v>
      </c>
      <c r="R267" s="26">
        <v>7</v>
      </c>
      <c r="S267" s="1" t="s">
        <v>101</v>
      </c>
      <c r="T267" s="1" t="s">
        <v>101</v>
      </c>
      <c r="U267" s="1" t="s">
        <v>101</v>
      </c>
      <c r="V267" s="1">
        <v>7.6</v>
      </c>
      <c r="W267" s="2" t="s">
        <v>101</v>
      </c>
      <c r="X267" s="47">
        <v>170</v>
      </c>
      <c r="Y267" s="15" t="s">
        <v>838</v>
      </c>
      <c r="Z267" s="15"/>
      <c r="AA267" s="28" t="s">
        <v>306</v>
      </c>
      <c r="AB267" s="2" t="s">
        <v>839</v>
      </c>
      <c r="AC267" s="2" t="s">
        <v>683</v>
      </c>
      <c r="AD267" s="2" t="s">
        <v>832</v>
      </c>
      <c r="AE267" s="47" t="s">
        <v>936</v>
      </c>
      <c r="AF267" s="2" t="s">
        <v>831</v>
      </c>
      <c r="AG267" s="47" t="s">
        <v>936</v>
      </c>
      <c r="AH267" s="2" t="s">
        <v>835</v>
      </c>
      <c r="AI267" s="47" t="s">
        <v>959</v>
      </c>
      <c r="AK267" s="1">
        <v>5.5</v>
      </c>
      <c r="AL267" s="1" t="s">
        <v>101</v>
      </c>
      <c r="AM267" s="1">
        <v>52</v>
      </c>
      <c r="AN267" s="36" t="s">
        <v>101</v>
      </c>
      <c r="AO267" s="1">
        <v>26.6</v>
      </c>
      <c r="AP267" s="1">
        <v>10</v>
      </c>
      <c r="AQ267" s="36" t="s">
        <v>101</v>
      </c>
      <c r="AR267" s="1">
        <v>5.7</v>
      </c>
      <c r="AS267" s="1">
        <v>10.6</v>
      </c>
      <c r="AT267" s="2">
        <f>(73+83)/2</f>
        <v>78</v>
      </c>
      <c r="AU267" s="47">
        <v>78</v>
      </c>
      <c r="AV267" s="28" t="s">
        <v>101</v>
      </c>
      <c r="AW267" s="2" t="s">
        <v>840</v>
      </c>
      <c r="AX267" s="1">
        <f t="shared" si="52"/>
        <v>78.571428571428569</v>
      </c>
      <c r="AY267" s="1"/>
    </row>
    <row r="268" spans="1:51" s="2" customFormat="1" ht="27.75" customHeight="1" x14ac:dyDescent="0.35">
      <c r="A268" s="1">
        <v>51</v>
      </c>
      <c r="B268" s="2" t="s">
        <v>805</v>
      </c>
      <c r="C268" s="2" t="s">
        <v>804</v>
      </c>
      <c r="D268" s="2" t="s">
        <v>430</v>
      </c>
      <c r="E268" s="28" t="s">
        <v>874</v>
      </c>
      <c r="F268" s="2" t="s">
        <v>821</v>
      </c>
      <c r="G268" s="2" t="s">
        <v>822</v>
      </c>
      <c r="H268" s="2">
        <v>760</v>
      </c>
      <c r="I268" s="2">
        <v>70</v>
      </c>
      <c r="J268" s="2" t="s">
        <v>880</v>
      </c>
      <c r="K268" s="1">
        <v>2019</v>
      </c>
      <c r="L268" s="1">
        <v>2020</v>
      </c>
      <c r="M268" s="2" t="s">
        <v>806</v>
      </c>
      <c r="N268" s="47" t="s">
        <v>885</v>
      </c>
      <c r="O268" s="2" t="s">
        <v>824</v>
      </c>
      <c r="P268" s="47" t="s">
        <v>894</v>
      </c>
      <c r="Q268" s="26" t="s">
        <v>93</v>
      </c>
      <c r="R268" s="26">
        <v>7</v>
      </c>
      <c r="S268" s="1" t="s">
        <v>101</v>
      </c>
      <c r="T268" s="1" t="s">
        <v>101</v>
      </c>
      <c r="U268" s="1" t="s">
        <v>101</v>
      </c>
      <c r="V268" s="1">
        <v>7.6</v>
      </c>
      <c r="W268" s="2" t="s">
        <v>101</v>
      </c>
      <c r="X268" s="47">
        <v>170</v>
      </c>
      <c r="Y268" s="15" t="s">
        <v>838</v>
      </c>
      <c r="Z268" s="15"/>
      <c r="AA268" s="28" t="s">
        <v>306</v>
      </c>
      <c r="AB268" s="2" t="s">
        <v>839</v>
      </c>
      <c r="AC268" s="2" t="s">
        <v>683</v>
      </c>
      <c r="AD268" s="2" t="s">
        <v>833</v>
      </c>
      <c r="AE268" s="47" t="s">
        <v>1036</v>
      </c>
      <c r="AF268" s="2" t="s">
        <v>831</v>
      </c>
      <c r="AG268" s="47" t="s">
        <v>936</v>
      </c>
      <c r="AH268" s="2" t="s">
        <v>101</v>
      </c>
      <c r="AI268" s="47" t="s">
        <v>538</v>
      </c>
      <c r="AK268" s="1" t="s">
        <v>101</v>
      </c>
      <c r="AL268" s="1" t="s">
        <v>101</v>
      </c>
      <c r="AM268" s="1">
        <v>52</v>
      </c>
      <c r="AN268" s="36" t="s">
        <v>101</v>
      </c>
      <c r="AO268" s="1">
        <v>26.6</v>
      </c>
      <c r="AP268" s="1">
        <f>19+14</f>
        <v>33</v>
      </c>
      <c r="AQ268" s="36" t="s">
        <v>101</v>
      </c>
      <c r="AR268" s="1">
        <v>16.7</v>
      </c>
      <c r="AS268" s="1">
        <v>7.9</v>
      </c>
      <c r="AT268" s="2">
        <f>(22+49)/2</f>
        <v>35.5</v>
      </c>
      <c r="AU268" s="47">
        <v>35.5</v>
      </c>
      <c r="AV268" s="28" t="s">
        <v>101</v>
      </c>
      <c r="AW268" s="2" t="s">
        <v>840</v>
      </c>
      <c r="AX268" s="1">
        <f t="shared" si="52"/>
        <v>37.218045112781958</v>
      </c>
      <c r="AY268" s="1"/>
    </row>
    <row r="269" spans="1:51" s="11" customFormat="1" ht="27.75" customHeight="1" thickBot="1" x14ac:dyDescent="0.4">
      <c r="A269" s="8">
        <v>51</v>
      </c>
      <c r="B269" s="11" t="s">
        <v>805</v>
      </c>
      <c r="C269" s="11" t="s">
        <v>804</v>
      </c>
      <c r="D269" s="11" t="s">
        <v>430</v>
      </c>
      <c r="E269" s="28" t="s">
        <v>874</v>
      </c>
      <c r="F269" s="11" t="s">
        <v>821</v>
      </c>
      <c r="G269" s="11" t="s">
        <v>822</v>
      </c>
      <c r="H269" s="2">
        <v>760</v>
      </c>
      <c r="I269" s="2">
        <v>70</v>
      </c>
      <c r="J269" s="2" t="s">
        <v>880</v>
      </c>
      <c r="K269" s="8">
        <v>2019</v>
      </c>
      <c r="L269" s="8">
        <v>2020</v>
      </c>
      <c r="M269" s="11" t="s">
        <v>806</v>
      </c>
      <c r="N269" s="47" t="s">
        <v>885</v>
      </c>
      <c r="O269" s="11" t="s">
        <v>824</v>
      </c>
      <c r="P269" s="47" t="s">
        <v>894</v>
      </c>
      <c r="Q269" s="26" t="s">
        <v>93</v>
      </c>
      <c r="R269" s="27">
        <v>7</v>
      </c>
      <c r="S269" s="8" t="s">
        <v>101</v>
      </c>
      <c r="T269" s="8" t="s">
        <v>101</v>
      </c>
      <c r="U269" s="8" t="s">
        <v>101</v>
      </c>
      <c r="V269" s="8">
        <v>7.6</v>
      </c>
      <c r="W269" s="11" t="s">
        <v>101</v>
      </c>
      <c r="X269" s="49">
        <v>170</v>
      </c>
      <c r="Y269" s="17" t="s">
        <v>838</v>
      </c>
      <c r="Z269" s="17"/>
      <c r="AA269" s="29" t="s">
        <v>306</v>
      </c>
      <c r="AB269" s="11" t="s">
        <v>839</v>
      </c>
      <c r="AC269" s="2" t="s">
        <v>683</v>
      </c>
      <c r="AD269" s="11" t="s">
        <v>834</v>
      </c>
      <c r="AE269" s="47" t="s">
        <v>1036</v>
      </c>
      <c r="AF269" s="11" t="s">
        <v>831</v>
      </c>
      <c r="AG269" s="47" t="s">
        <v>936</v>
      </c>
      <c r="AH269" s="11" t="s">
        <v>836</v>
      </c>
      <c r="AI269" s="47" t="s">
        <v>960</v>
      </c>
      <c r="AK269" s="8" t="s">
        <v>101</v>
      </c>
      <c r="AL269" s="8" t="s">
        <v>101</v>
      </c>
      <c r="AM269" s="8">
        <v>52</v>
      </c>
      <c r="AN269" s="37" t="s">
        <v>101</v>
      </c>
      <c r="AO269" s="8">
        <v>26.6</v>
      </c>
      <c r="AP269" s="8">
        <f>21+18</f>
        <v>39</v>
      </c>
      <c r="AQ269" s="37" t="s">
        <v>101</v>
      </c>
      <c r="AR269" s="8">
        <v>20</v>
      </c>
      <c r="AS269" s="8">
        <v>12.8</v>
      </c>
      <c r="AT269" s="11">
        <f>(15+33)/2</f>
        <v>24</v>
      </c>
      <c r="AU269" s="49">
        <v>24</v>
      </c>
      <c r="AV269" s="29" t="s">
        <v>101</v>
      </c>
      <c r="AW269" s="11" t="s">
        <v>840</v>
      </c>
      <c r="AX269" s="8">
        <f t="shared" si="52"/>
        <v>24.812030075187973</v>
      </c>
      <c r="AY269" s="8"/>
    </row>
    <row r="270" spans="1:51" s="2" customFormat="1" ht="27.75" customHeight="1" thickTop="1" x14ac:dyDescent="0.35">
      <c r="A270" s="1">
        <v>55</v>
      </c>
      <c r="B270" s="2" t="s">
        <v>841</v>
      </c>
      <c r="C270" s="2" t="s">
        <v>842</v>
      </c>
      <c r="D270" s="2" t="s">
        <v>270</v>
      </c>
      <c r="E270" s="28" t="s">
        <v>101</v>
      </c>
      <c r="F270" s="2" t="s">
        <v>101</v>
      </c>
      <c r="G270" s="2" t="s">
        <v>101</v>
      </c>
      <c r="K270" s="2" t="s">
        <v>101</v>
      </c>
      <c r="L270" s="2" t="s">
        <v>101</v>
      </c>
      <c r="M270" s="2" t="s">
        <v>101</v>
      </c>
      <c r="N270" s="47" t="s">
        <v>914</v>
      </c>
      <c r="O270" s="2" t="s">
        <v>209</v>
      </c>
      <c r="P270" s="47" t="s">
        <v>534</v>
      </c>
      <c r="Q270" s="26" t="s">
        <v>93</v>
      </c>
      <c r="R270" s="26" t="s">
        <v>101</v>
      </c>
      <c r="S270" s="1" t="s">
        <v>101</v>
      </c>
      <c r="T270" s="1">
        <v>0.47</v>
      </c>
      <c r="U270" s="1" t="s">
        <v>101</v>
      </c>
      <c r="V270" s="1">
        <v>8.67</v>
      </c>
      <c r="W270" s="2" t="s">
        <v>101</v>
      </c>
      <c r="X270" s="47">
        <v>150</v>
      </c>
      <c r="Y270" s="15" t="s">
        <v>101</v>
      </c>
      <c r="Z270" s="15"/>
      <c r="AA270" s="2" t="s">
        <v>845</v>
      </c>
      <c r="AB270" s="2" t="s">
        <v>846</v>
      </c>
      <c r="AC270" s="2" t="s">
        <v>846</v>
      </c>
      <c r="AD270" s="1" t="s">
        <v>408</v>
      </c>
      <c r="AE270" s="47" t="s">
        <v>408</v>
      </c>
      <c r="AF270" s="1" t="s">
        <v>408</v>
      </c>
      <c r="AG270" s="47" t="s">
        <v>408</v>
      </c>
      <c r="AH270" s="2" t="s">
        <v>843</v>
      </c>
      <c r="AI270" s="47" t="s">
        <v>954</v>
      </c>
      <c r="AK270" s="1">
        <v>8.74</v>
      </c>
      <c r="AL270" s="1" t="s">
        <v>101</v>
      </c>
      <c r="AM270" s="1" t="s">
        <v>101</v>
      </c>
      <c r="AN270" s="1" t="s">
        <v>101</v>
      </c>
      <c r="AO270" s="1">
        <v>1456</v>
      </c>
      <c r="AP270" s="1" t="s">
        <v>101</v>
      </c>
      <c r="AQ270" s="1" t="s">
        <v>101</v>
      </c>
      <c r="AR270" s="1">
        <v>1307</v>
      </c>
      <c r="AS270" s="1" t="s">
        <v>101</v>
      </c>
      <c r="AT270" s="2">
        <f>((AO270-AR270)/AO270)*100</f>
        <v>10.233516483516484</v>
      </c>
      <c r="AU270" s="47">
        <v>10.233516483516484</v>
      </c>
      <c r="AV270" s="1" t="s">
        <v>101</v>
      </c>
      <c r="AW270" s="2" t="s">
        <v>847</v>
      </c>
      <c r="AX270" s="1"/>
      <c r="AY270" s="1"/>
    </row>
    <row r="271" spans="1:51" s="11" customFormat="1" ht="27.75" customHeight="1" thickBot="1" x14ac:dyDescent="0.4">
      <c r="A271" s="8">
        <v>55</v>
      </c>
      <c r="B271" s="11" t="s">
        <v>841</v>
      </c>
      <c r="C271" s="11" t="s">
        <v>842</v>
      </c>
      <c r="D271" s="11" t="s">
        <v>270</v>
      </c>
      <c r="E271" s="29" t="s">
        <v>101</v>
      </c>
      <c r="F271" s="11" t="s">
        <v>101</v>
      </c>
      <c r="G271" s="11" t="s">
        <v>101</v>
      </c>
      <c r="K271" s="11" t="s">
        <v>101</v>
      </c>
      <c r="L271" s="11" t="s">
        <v>101</v>
      </c>
      <c r="M271" s="11" t="s">
        <v>101</v>
      </c>
      <c r="N271" s="47" t="s">
        <v>914</v>
      </c>
      <c r="O271" s="11" t="s">
        <v>209</v>
      </c>
      <c r="P271" s="47" t="s">
        <v>534</v>
      </c>
      <c r="Q271" s="27" t="s">
        <v>93</v>
      </c>
      <c r="R271" s="27" t="s">
        <v>101</v>
      </c>
      <c r="S271" s="8" t="s">
        <v>101</v>
      </c>
      <c r="T271" s="8">
        <v>0.45</v>
      </c>
      <c r="U271" s="8" t="s">
        <v>101</v>
      </c>
      <c r="V271" s="8">
        <v>8.67</v>
      </c>
      <c r="W271" s="11" t="s">
        <v>101</v>
      </c>
      <c r="X271" s="49">
        <v>150</v>
      </c>
      <c r="Y271" s="17" t="s">
        <v>101</v>
      </c>
      <c r="Z271" s="17"/>
      <c r="AA271" s="11" t="s">
        <v>845</v>
      </c>
      <c r="AB271" s="11" t="s">
        <v>846</v>
      </c>
      <c r="AC271" s="11" t="s">
        <v>846</v>
      </c>
      <c r="AD271" s="8" t="s">
        <v>408</v>
      </c>
      <c r="AE271" s="47" t="s">
        <v>408</v>
      </c>
      <c r="AF271" s="8" t="s">
        <v>408</v>
      </c>
      <c r="AG271" s="47" t="s">
        <v>408</v>
      </c>
      <c r="AH271" s="11" t="s">
        <v>844</v>
      </c>
      <c r="AI271" s="49" t="s">
        <v>961</v>
      </c>
      <c r="AK271" s="8">
        <v>8.67</v>
      </c>
      <c r="AL271" s="8" t="s">
        <v>101</v>
      </c>
      <c r="AM271" s="8" t="s">
        <v>101</v>
      </c>
      <c r="AN271" s="8" t="s">
        <v>101</v>
      </c>
      <c r="AO271" s="8">
        <v>1456</v>
      </c>
      <c r="AP271" s="8" t="s">
        <v>101</v>
      </c>
      <c r="AQ271" s="8" t="s">
        <v>101</v>
      </c>
      <c r="AR271" s="37">
        <v>1136</v>
      </c>
      <c r="AS271" s="8" t="s">
        <v>101</v>
      </c>
      <c r="AT271" s="29">
        <f>((AO271-AR271)/AO271)*100</f>
        <v>21.978021978021978</v>
      </c>
      <c r="AU271" s="56">
        <v>21.978021978021978</v>
      </c>
      <c r="AV271" s="8" t="s">
        <v>101</v>
      </c>
      <c r="AW271" s="11" t="s">
        <v>847</v>
      </c>
      <c r="AX271" s="8"/>
      <c r="AY271" s="8"/>
    </row>
    <row r="272" spans="1:51" s="2" customFormat="1" ht="27.75" customHeight="1" thickTop="1" x14ac:dyDescent="0.35">
      <c r="A272" s="1">
        <v>56</v>
      </c>
      <c r="B272" s="2" t="s">
        <v>848</v>
      </c>
      <c r="C272" s="2" t="s">
        <v>849</v>
      </c>
      <c r="D272" s="2" t="s">
        <v>114</v>
      </c>
      <c r="E272" s="2" t="s">
        <v>852</v>
      </c>
      <c r="F272" s="2" t="s">
        <v>101</v>
      </c>
      <c r="G272" s="2" t="s">
        <v>851</v>
      </c>
      <c r="J272" s="2" t="s">
        <v>881</v>
      </c>
      <c r="K272" s="1">
        <v>2015</v>
      </c>
      <c r="L272" s="1">
        <v>2016</v>
      </c>
      <c r="M272" s="2" t="s">
        <v>101</v>
      </c>
      <c r="N272" s="47" t="s">
        <v>914</v>
      </c>
      <c r="O272" s="2" t="s">
        <v>487</v>
      </c>
      <c r="P272" s="47" t="s">
        <v>889</v>
      </c>
      <c r="Q272" s="26" t="s">
        <v>93</v>
      </c>
      <c r="R272" s="26">
        <v>1.8</v>
      </c>
      <c r="S272" s="1" t="s">
        <v>101</v>
      </c>
      <c r="T272" s="1" t="s">
        <v>101</v>
      </c>
      <c r="U272" s="1" t="s">
        <v>101</v>
      </c>
      <c r="V272" s="1" t="s">
        <v>101</v>
      </c>
      <c r="W272" s="2">
        <v>37</v>
      </c>
      <c r="X272" s="55">
        <f>W272*2.23</f>
        <v>82.51</v>
      </c>
      <c r="Y272" s="15" t="s">
        <v>858</v>
      </c>
      <c r="Z272" s="15" t="s">
        <v>962</v>
      </c>
      <c r="AA272" s="2" t="s">
        <v>856</v>
      </c>
      <c r="AB272" s="2" t="s">
        <v>855</v>
      </c>
      <c r="AC272" s="2" t="s">
        <v>899</v>
      </c>
      <c r="AD272" s="2" t="s">
        <v>854</v>
      </c>
      <c r="AE272" s="47" t="s">
        <v>936</v>
      </c>
      <c r="AF272" s="2" t="s">
        <v>853</v>
      </c>
      <c r="AG272" s="47" t="s">
        <v>966</v>
      </c>
      <c r="AH272" s="2" t="s">
        <v>101</v>
      </c>
      <c r="AI272" s="47" t="s">
        <v>914</v>
      </c>
      <c r="AK272" s="2" t="s">
        <v>101</v>
      </c>
      <c r="AL272" s="2" t="s">
        <v>101</v>
      </c>
      <c r="AM272" s="2" t="s">
        <v>101</v>
      </c>
      <c r="AN272" s="2" t="s">
        <v>101</v>
      </c>
      <c r="AO272" s="1">
        <v>5.15</v>
      </c>
      <c r="AP272" s="1" t="s">
        <v>101</v>
      </c>
      <c r="AQ272" s="1" t="s">
        <v>101</v>
      </c>
      <c r="AR272" s="1">
        <f>1.75+1.56</f>
        <v>3.31</v>
      </c>
      <c r="AS272" s="1">
        <v>0.42</v>
      </c>
      <c r="AT272" s="2">
        <f t="shared" ref="AT272:AT273" si="53">((AO272-AR272)/AO272)*100</f>
        <v>35.728155339805831</v>
      </c>
      <c r="AU272" s="47">
        <v>35.728155339805831</v>
      </c>
      <c r="AV272" s="1" t="s">
        <v>101</v>
      </c>
      <c r="AW272" s="2" t="s">
        <v>862</v>
      </c>
      <c r="AX272" s="1"/>
      <c r="AY272" s="1"/>
    </row>
    <row r="273" spans="1:51" s="2" customFormat="1" ht="27.75" customHeight="1" x14ac:dyDescent="0.35">
      <c r="A273" s="1">
        <v>56</v>
      </c>
      <c r="B273" s="2" t="s">
        <v>848</v>
      </c>
      <c r="C273" s="2" t="s">
        <v>849</v>
      </c>
      <c r="D273" s="2" t="s">
        <v>114</v>
      </c>
      <c r="E273" s="2" t="s">
        <v>852</v>
      </c>
      <c r="F273" s="2" t="s">
        <v>101</v>
      </c>
      <c r="G273" s="2" t="s">
        <v>851</v>
      </c>
      <c r="J273" s="2" t="s">
        <v>881</v>
      </c>
      <c r="K273" s="1">
        <v>2015</v>
      </c>
      <c r="L273" s="1">
        <v>2016</v>
      </c>
      <c r="M273" s="2" t="s">
        <v>850</v>
      </c>
      <c r="N273" s="47" t="s">
        <v>885</v>
      </c>
      <c r="O273" s="2" t="s">
        <v>487</v>
      </c>
      <c r="P273" s="47" t="s">
        <v>889</v>
      </c>
      <c r="Q273" s="26" t="s">
        <v>93</v>
      </c>
      <c r="R273" s="26">
        <v>4.9000000000000004</v>
      </c>
      <c r="S273" s="1" t="s">
        <v>101</v>
      </c>
      <c r="T273" s="1" t="s">
        <v>101</v>
      </c>
      <c r="U273" s="1" t="s">
        <v>101</v>
      </c>
      <c r="V273" s="1" t="s">
        <v>101</v>
      </c>
      <c r="W273" s="2">
        <v>38</v>
      </c>
      <c r="X273" s="55">
        <f>W273*4.1</f>
        <v>155.79999999999998</v>
      </c>
      <c r="Y273" s="15" t="s">
        <v>859</v>
      </c>
      <c r="Z273" s="15" t="s">
        <v>963</v>
      </c>
      <c r="AA273" s="2" t="s">
        <v>857</v>
      </c>
      <c r="AB273" s="2" t="s">
        <v>855</v>
      </c>
      <c r="AC273" s="2" t="s">
        <v>899</v>
      </c>
      <c r="AD273" s="2" t="s">
        <v>854</v>
      </c>
      <c r="AE273" s="47" t="s">
        <v>936</v>
      </c>
      <c r="AF273" s="2" t="s">
        <v>853</v>
      </c>
      <c r="AG273" s="47" t="s">
        <v>966</v>
      </c>
      <c r="AH273" s="2" t="s">
        <v>101</v>
      </c>
      <c r="AI273" s="47" t="s">
        <v>914</v>
      </c>
      <c r="AK273" s="2" t="s">
        <v>101</v>
      </c>
      <c r="AL273" s="2" t="s">
        <v>101</v>
      </c>
      <c r="AM273" s="2" t="s">
        <v>101</v>
      </c>
      <c r="AN273" s="2" t="s">
        <v>101</v>
      </c>
      <c r="AO273" s="1">
        <v>5.37</v>
      </c>
      <c r="AP273" s="1" t="s">
        <v>101</v>
      </c>
      <c r="AQ273" s="1" t="s">
        <v>101</v>
      </c>
      <c r="AR273" s="1">
        <v>1.72</v>
      </c>
      <c r="AS273" s="1">
        <v>0.46</v>
      </c>
      <c r="AT273" s="2">
        <f t="shared" si="53"/>
        <v>67.970204841713226</v>
      </c>
      <c r="AU273" s="47">
        <v>67.970204841713226</v>
      </c>
      <c r="AV273" s="1" t="s">
        <v>101</v>
      </c>
      <c r="AW273" s="2" t="s">
        <v>862</v>
      </c>
      <c r="AX273" s="1"/>
      <c r="AY273" s="1"/>
    </row>
    <row r="274" spans="1:51" s="2" customFormat="1" ht="27.75" customHeight="1" x14ac:dyDescent="0.35">
      <c r="A274" s="1">
        <v>57</v>
      </c>
      <c r="B274" s="2" t="s">
        <v>981</v>
      </c>
      <c r="C274" s="2" t="s">
        <v>982</v>
      </c>
      <c r="D274" s="2" t="s">
        <v>983</v>
      </c>
      <c r="E274" s="2" t="s">
        <v>984</v>
      </c>
      <c r="K274" s="1">
        <v>2019</v>
      </c>
      <c r="L274" s="1">
        <v>2019</v>
      </c>
      <c r="M274" s="2" t="s">
        <v>985</v>
      </c>
      <c r="N274" s="2" t="s">
        <v>886</v>
      </c>
      <c r="O274" s="2" t="s">
        <v>209</v>
      </c>
      <c r="P274" s="2" t="s">
        <v>534</v>
      </c>
      <c r="Q274" s="1" t="s">
        <v>93</v>
      </c>
      <c r="R274" s="1">
        <v>4.4000000000000004</v>
      </c>
      <c r="S274" s="1"/>
      <c r="T274" s="1">
        <v>1.25</v>
      </c>
      <c r="U274" s="1"/>
      <c r="V274" s="1">
        <v>6.9</v>
      </c>
      <c r="X274" s="2">
        <v>74.8</v>
      </c>
      <c r="Y274" s="15"/>
      <c r="Z274" s="15"/>
      <c r="AB274" s="2" t="s">
        <v>986</v>
      </c>
      <c r="AC274" s="2" t="s">
        <v>986</v>
      </c>
      <c r="AD274" s="1" t="s">
        <v>408</v>
      </c>
      <c r="AE274" s="1" t="s">
        <v>408</v>
      </c>
      <c r="AF274" s="2" t="s">
        <v>923</v>
      </c>
      <c r="AG274" s="2" t="s">
        <v>966</v>
      </c>
      <c r="AH274" s="2" t="s">
        <v>539</v>
      </c>
      <c r="AI274" s="2" t="s">
        <v>987</v>
      </c>
      <c r="AK274" s="1">
        <v>6.9</v>
      </c>
      <c r="AL274" s="1">
        <v>4.4000000000000004</v>
      </c>
      <c r="AM274" s="2">
        <v>31.29</v>
      </c>
      <c r="AN274" s="2" t="s">
        <v>101</v>
      </c>
      <c r="AO274" s="1"/>
      <c r="AP274" s="1">
        <v>18.89</v>
      </c>
      <c r="AQ274" s="1"/>
      <c r="AR274" s="1"/>
      <c r="AS274" s="1"/>
      <c r="AU274" s="2">
        <v>39.629274528603389</v>
      </c>
      <c r="AV274" s="1" t="s">
        <v>101</v>
      </c>
      <c r="AX274" s="1"/>
      <c r="AY274" s="1"/>
    </row>
    <row r="275" spans="1:51" s="2" customFormat="1" ht="27.75" customHeight="1" x14ac:dyDescent="0.35">
      <c r="A275" s="1">
        <v>57</v>
      </c>
      <c r="B275" s="2" t="s">
        <v>981</v>
      </c>
      <c r="C275" s="2" t="s">
        <v>982</v>
      </c>
      <c r="D275" s="2" t="s">
        <v>983</v>
      </c>
      <c r="E275" s="2" t="s">
        <v>984</v>
      </c>
      <c r="K275" s="1">
        <v>2019</v>
      </c>
      <c r="L275" s="1">
        <v>2019</v>
      </c>
      <c r="M275" s="2" t="s">
        <v>985</v>
      </c>
      <c r="N275" s="2" t="s">
        <v>886</v>
      </c>
      <c r="O275" s="2" t="s">
        <v>209</v>
      </c>
      <c r="P275" s="2" t="s">
        <v>534</v>
      </c>
      <c r="Q275" s="1" t="s">
        <v>93</v>
      </c>
      <c r="R275" s="1">
        <v>7.5</v>
      </c>
      <c r="S275" s="1"/>
      <c r="T275" s="1">
        <v>1.75</v>
      </c>
      <c r="U275" s="1"/>
      <c r="V275" s="1">
        <v>6.8</v>
      </c>
      <c r="X275" s="2">
        <v>105.2</v>
      </c>
      <c r="Y275" s="15"/>
      <c r="Z275" s="15"/>
      <c r="AB275" s="2" t="s">
        <v>986</v>
      </c>
      <c r="AC275" s="2" t="s">
        <v>986</v>
      </c>
      <c r="AD275" s="1" t="s">
        <v>988</v>
      </c>
      <c r="AE275" s="1" t="s">
        <v>936</v>
      </c>
      <c r="AF275" s="2" t="s">
        <v>923</v>
      </c>
      <c r="AG275" s="2" t="s">
        <v>966</v>
      </c>
      <c r="AH275" s="2" t="s">
        <v>101</v>
      </c>
      <c r="AI275" s="2" t="s">
        <v>914</v>
      </c>
      <c r="AK275" s="1">
        <v>6.8</v>
      </c>
      <c r="AL275" s="1">
        <v>7.5</v>
      </c>
      <c r="AM275" s="2">
        <v>31.29</v>
      </c>
      <c r="AN275" s="2" t="s">
        <v>101</v>
      </c>
      <c r="AO275" s="1"/>
      <c r="AP275" s="1">
        <v>27.13</v>
      </c>
      <c r="AQ275" s="1"/>
      <c r="AR275" s="1"/>
      <c r="AS275" s="1"/>
      <c r="AU275" s="2">
        <v>13.294982422499203</v>
      </c>
      <c r="AV275" s="1" t="s">
        <v>101</v>
      </c>
      <c r="AX275" s="1"/>
      <c r="AY275" s="1"/>
    </row>
    <row r="276" spans="1:51" s="2" customFormat="1" ht="27.75" customHeight="1" x14ac:dyDescent="0.35">
      <c r="A276" s="1">
        <v>57</v>
      </c>
      <c r="B276" s="2" t="s">
        <v>981</v>
      </c>
      <c r="C276" s="2" t="s">
        <v>982</v>
      </c>
      <c r="D276" s="2" t="s">
        <v>983</v>
      </c>
      <c r="E276" s="2" t="s">
        <v>984</v>
      </c>
      <c r="K276" s="1">
        <v>2019</v>
      </c>
      <c r="L276" s="1">
        <v>2019</v>
      </c>
      <c r="M276" s="2" t="s">
        <v>985</v>
      </c>
      <c r="N276" s="2" t="s">
        <v>886</v>
      </c>
      <c r="O276" s="2" t="s">
        <v>209</v>
      </c>
      <c r="P276" s="2" t="s">
        <v>534</v>
      </c>
      <c r="Q276" s="1" t="s">
        <v>93</v>
      </c>
      <c r="R276" s="1">
        <v>7.5</v>
      </c>
      <c r="S276" s="1"/>
      <c r="T276" s="1">
        <v>1.75</v>
      </c>
      <c r="U276" s="1"/>
      <c r="V276" s="1">
        <v>6.8</v>
      </c>
      <c r="X276" s="2">
        <v>105.2</v>
      </c>
      <c r="Y276" s="15"/>
      <c r="Z276" s="15"/>
      <c r="AB276" s="2" t="s">
        <v>986</v>
      </c>
      <c r="AC276" s="2" t="s">
        <v>986</v>
      </c>
      <c r="AD276" s="1" t="s">
        <v>989</v>
      </c>
      <c r="AE276" s="1" t="s">
        <v>936</v>
      </c>
      <c r="AF276" s="2" t="s">
        <v>923</v>
      </c>
      <c r="AG276" s="2" t="s">
        <v>966</v>
      </c>
      <c r="AH276" s="2" t="s">
        <v>101</v>
      </c>
      <c r="AI276" s="2" t="s">
        <v>914</v>
      </c>
      <c r="AK276" s="1">
        <v>6.8</v>
      </c>
      <c r="AL276" s="1">
        <v>7.5</v>
      </c>
      <c r="AM276" s="2">
        <v>31.29</v>
      </c>
      <c r="AN276" s="2" t="s">
        <v>101</v>
      </c>
      <c r="AO276" s="1"/>
      <c r="AP276" s="1">
        <v>34.67</v>
      </c>
      <c r="AQ276" s="1"/>
      <c r="AR276" s="1"/>
      <c r="AS276" s="1"/>
      <c r="AU276" s="2">
        <v>-10.802173218280608</v>
      </c>
      <c r="AV276" s="1" t="s">
        <v>101</v>
      </c>
      <c r="AX276" s="1"/>
      <c r="AY276" s="1"/>
    </row>
    <row r="277" spans="1:51" s="2" customFormat="1" ht="27.75" customHeight="1" x14ac:dyDescent="0.35">
      <c r="A277" s="1">
        <v>57</v>
      </c>
      <c r="B277" s="2" t="s">
        <v>981</v>
      </c>
      <c r="C277" s="2" t="s">
        <v>982</v>
      </c>
      <c r="D277" s="2" t="s">
        <v>983</v>
      </c>
      <c r="E277" s="2" t="s">
        <v>984</v>
      </c>
      <c r="K277" s="1">
        <v>2019</v>
      </c>
      <c r="L277" s="1">
        <v>2019</v>
      </c>
      <c r="M277" s="2" t="s">
        <v>985</v>
      </c>
      <c r="N277" s="2" t="s">
        <v>886</v>
      </c>
      <c r="O277" s="2" t="s">
        <v>209</v>
      </c>
      <c r="P277" s="2" t="s">
        <v>534</v>
      </c>
      <c r="Q277" s="1" t="s">
        <v>93</v>
      </c>
      <c r="R277" s="1">
        <v>7.9</v>
      </c>
      <c r="S277" s="1"/>
      <c r="T277" s="1"/>
      <c r="U277" s="1"/>
      <c r="V277" s="1">
        <v>6.8</v>
      </c>
      <c r="Y277" s="15"/>
      <c r="Z277" s="15"/>
      <c r="AB277" s="2" t="s">
        <v>986</v>
      </c>
      <c r="AC277" s="2" t="s">
        <v>986</v>
      </c>
      <c r="AD277" s="1" t="s">
        <v>990</v>
      </c>
      <c r="AE277" s="1" t="s">
        <v>917</v>
      </c>
      <c r="AF277" s="2" t="s">
        <v>926</v>
      </c>
      <c r="AG277" s="2" t="s">
        <v>936</v>
      </c>
      <c r="AH277" s="2" t="s">
        <v>101</v>
      </c>
      <c r="AI277" s="2" t="s">
        <v>914</v>
      </c>
      <c r="AK277" s="1">
        <v>6.8</v>
      </c>
      <c r="AL277" s="1">
        <v>7.9</v>
      </c>
      <c r="AM277" s="1">
        <v>27.13</v>
      </c>
      <c r="AN277" s="2" t="s">
        <v>101</v>
      </c>
      <c r="AO277" s="1"/>
      <c r="AP277" s="1">
        <v>14.01</v>
      </c>
      <c r="AQ277" s="1"/>
      <c r="AR277" s="1"/>
      <c r="AS277" s="1"/>
      <c r="AU277" s="2">
        <v>48.359749354957614</v>
      </c>
      <c r="AV277" s="1" t="s">
        <v>101</v>
      </c>
      <c r="AX277" s="1"/>
      <c r="AY277" s="1"/>
    </row>
    <row r="278" spans="1:51" s="2" customFormat="1" ht="27.75" customHeight="1" x14ac:dyDescent="0.35">
      <c r="A278" s="1">
        <v>57</v>
      </c>
      <c r="B278" s="2" t="s">
        <v>981</v>
      </c>
      <c r="C278" s="2" t="s">
        <v>982</v>
      </c>
      <c r="D278" s="2" t="s">
        <v>983</v>
      </c>
      <c r="E278" s="2" t="s">
        <v>984</v>
      </c>
      <c r="K278" s="1">
        <v>2019</v>
      </c>
      <c r="L278" s="1">
        <v>2019</v>
      </c>
      <c r="M278" s="2" t="s">
        <v>985</v>
      </c>
      <c r="N278" s="2" t="s">
        <v>886</v>
      </c>
      <c r="O278" s="2" t="s">
        <v>209</v>
      </c>
      <c r="P278" s="2" t="s">
        <v>534</v>
      </c>
      <c r="Q278" s="1" t="s">
        <v>93</v>
      </c>
      <c r="R278" s="1">
        <v>1.8</v>
      </c>
      <c r="S278" s="1"/>
      <c r="T278" s="1"/>
      <c r="U278" s="1"/>
      <c r="V278" s="1">
        <v>7.2</v>
      </c>
      <c r="Y278" s="15"/>
      <c r="Z278" s="15"/>
      <c r="AB278" s="2" t="s">
        <v>986</v>
      </c>
      <c r="AC278" s="2" t="s">
        <v>986</v>
      </c>
      <c r="AD278" s="1" t="s">
        <v>988</v>
      </c>
      <c r="AE278" s="1" t="s">
        <v>936</v>
      </c>
      <c r="AF278" s="2" t="s">
        <v>926</v>
      </c>
      <c r="AG278" s="2" t="s">
        <v>936</v>
      </c>
      <c r="AH278" s="2" t="s">
        <v>539</v>
      </c>
      <c r="AI278" s="2" t="s">
        <v>987</v>
      </c>
      <c r="AK278" s="1">
        <v>7.2</v>
      </c>
      <c r="AL278" s="1">
        <v>1.8</v>
      </c>
      <c r="AM278" s="1">
        <v>27.13</v>
      </c>
      <c r="AN278" s="2" t="s">
        <v>101</v>
      </c>
      <c r="AO278" s="1"/>
      <c r="AP278" s="1">
        <v>7.89</v>
      </c>
      <c r="AQ278" s="1"/>
      <c r="AR278" s="1"/>
      <c r="AS278" s="1"/>
      <c r="AU278" s="2">
        <v>70.917803169922593</v>
      </c>
      <c r="AV278" s="1" t="s">
        <v>101</v>
      </c>
      <c r="AX278" s="1"/>
      <c r="AY278" s="1"/>
    </row>
    <row r="279" spans="1:51" s="2" customFormat="1" ht="27.75" customHeight="1" x14ac:dyDescent="0.35">
      <c r="A279" s="1">
        <v>57</v>
      </c>
      <c r="B279" s="2" t="s">
        <v>981</v>
      </c>
      <c r="C279" s="2" t="s">
        <v>982</v>
      </c>
      <c r="D279" s="2" t="s">
        <v>983</v>
      </c>
      <c r="E279" s="2" t="s">
        <v>984</v>
      </c>
      <c r="K279" s="1">
        <v>2019</v>
      </c>
      <c r="L279" s="1">
        <v>2019</v>
      </c>
      <c r="M279" s="2" t="s">
        <v>985</v>
      </c>
      <c r="N279" s="2" t="s">
        <v>886</v>
      </c>
      <c r="O279" s="2" t="s">
        <v>209</v>
      </c>
      <c r="P279" s="2" t="s">
        <v>534</v>
      </c>
      <c r="Q279" s="1" t="s">
        <v>93</v>
      </c>
      <c r="R279" s="1">
        <v>1.8</v>
      </c>
      <c r="S279" s="1"/>
      <c r="T279" s="1"/>
      <c r="U279" s="1"/>
      <c r="V279" s="1">
        <v>7.2</v>
      </c>
      <c r="Y279" s="15"/>
      <c r="Z279" s="15"/>
      <c r="AB279" s="2" t="s">
        <v>986</v>
      </c>
      <c r="AC279" s="2" t="s">
        <v>986</v>
      </c>
      <c r="AD279" s="1" t="s">
        <v>990</v>
      </c>
      <c r="AE279" s="1" t="s">
        <v>917</v>
      </c>
      <c r="AF279" s="2" t="s">
        <v>926</v>
      </c>
      <c r="AG279" s="2" t="s">
        <v>936</v>
      </c>
      <c r="AH279" s="2" t="s">
        <v>539</v>
      </c>
      <c r="AI279" s="2" t="s">
        <v>987</v>
      </c>
      <c r="AK279" s="1">
        <v>7.2</v>
      </c>
      <c r="AL279" s="1">
        <v>1.8</v>
      </c>
      <c r="AM279" s="1">
        <v>27.13</v>
      </c>
      <c r="AN279" s="2" t="s">
        <v>101</v>
      </c>
      <c r="AO279" s="1"/>
      <c r="AP279" s="1">
        <v>7.75</v>
      </c>
      <c r="AQ279" s="1"/>
      <c r="AR279" s="1"/>
      <c r="AS279" s="1"/>
      <c r="AU279" s="2">
        <v>71.433837080722441</v>
      </c>
      <c r="AV279" s="1" t="s">
        <v>101</v>
      </c>
      <c r="AX279" s="1"/>
      <c r="AY279" s="1"/>
    </row>
    <row r="280" spans="1:51" s="2" customFormat="1" ht="27.75" customHeight="1" thickBot="1" x14ac:dyDescent="0.4">
      <c r="A280" s="1">
        <v>58</v>
      </c>
      <c r="B280" s="2" t="s">
        <v>991</v>
      </c>
      <c r="C280" s="2" t="s">
        <v>992</v>
      </c>
      <c r="D280" s="2" t="s">
        <v>490</v>
      </c>
      <c r="E280" s="29" t="s">
        <v>875</v>
      </c>
      <c r="H280" s="2">
        <v>768</v>
      </c>
      <c r="I280" s="2">
        <v>77</v>
      </c>
      <c r="J280" s="2" t="s">
        <v>880</v>
      </c>
      <c r="K280" s="1">
        <v>2014</v>
      </c>
      <c r="L280" s="1">
        <v>2014</v>
      </c>
      <c r="M280" s="2" t="s">
        <v>993</v>
      </c>
      <c r="N280" s="2" t="s">
        <v>885</v>
      </c>
      <c r="O280" s="2" t="s">
        <v>209</v>
      </c>
      <c r="P280" s="2" t="s">
        <v>534</v>
      </c>
      <c r="Q280" s="1" t="s">
        <v>93</v>
      </c>
      <c r="R280" s="1">
        <v>6.5</v>
      </c>
      <c r="S280" s="1"/>
      <c r="T280" s="1"/>
      <c r="U280" s="1"/>
      <c r="V280" s="1">
        <v>7.2</v>
      </c>
      <c r="X280" s="2">
        <v>84.8</v>
      </c>
      <c r="Y280" s="15">
        <v>41730</v>
      </c>
      <c r="Z280" s="15"/>
      <c r="AB280" s="2" t="s">
        <v>897</v>
      </c>
      <c r="AC280" s="2" t="s">
        <v>897</v>
      </c>
      <c r="AD280" s="1" t="s">
        <v>994</v>
      </c>
      <c r="AE280" s="1" t="s">
        <v>995</v>
      </c>
      <c r="AF280" s="2" t="s">
        <v>926</v>
      </c>
      <c r="AG280" s="2" t="s">
        <v>936</v>
      </c>
      <c r="AH280" s="2" t="s">
        <v>101</v>
      </c>
      <c r="AI280" s="2" t="s">
        <v>914</v>
      </c>
      <c r="AK280" s="1" t="s">
        <v>101</v>
      </c>
      <c r="AL280" s="1" t="s">
        <v>101</v>
      </c>
      <c r="AM280" s="1"/>
      <c r="AN280" s="1"/>
      <c r="AO280" s="1"/>
      <c r="AP280" s="1"/>
      <c r="AQ280" s="1"/>
      <c r="AR280" s="1"/>
      <c r="AS280" s="1"/>
      <c r="AU280" s="2">
        <v>59</v>
      </c>
      <c r="AV280" s="1"/>
      <c r="AX280" s="1"/>
      <c r="AY280" s="1"/>
    </row>
    <row r="281" spans="1:51" s="2" customFormat="1" ht="27.75" customHeight="1" thickTop="1" thickBot="1" x14ac:dyDescent="0.4">
      <c r="A281" s="1">
        <v>58</v>
      </c>
      <c r="B281" s="2" t="s">
        <v>991</v>
      </c>
      <c r="C281" s="2" t="s">
        <v>992</v>
      </c>
      <c r="D281" s="2" t="s">
        <v>490</v>
      </c>
      <c r="E281" s="29" t="s">
        <v>875</v>
      </c>
      <c r="H281" s="2">
        <v>768</v>
      </c>
      <c r="I281" s="2">
        <v>77</v>
      </c>
      <c r="J281" s="2" t="s">
        <v>880</v>
      </c>
      <c r="K281" s="1">
        <v>2014</v>
      </c>
      <c r="L281" s="1">
        <v>2014</v>
      </c>
      <c r="M281" s="2" t="s">
        <v>993</v>
      </c>
      <c r="N281" s="2" t="s">
        <v>885</v>
      </c>
      <c r="O281" s="2" t="s">
        <v>209</v>
      </c>
      <c r="P281" s="2" t="s">
        <v>534</v>
      </c>
      <c r="Q281" s="1" t="s">
        <v>93</v>
      </c>
      <c r="R281" s="1">
        <v>6.4</v>
      </c>
      <c r="S281" s="1"/>
      <c r="T281" s="1"/>
      <c r="U281" s="1"/>
      <c r="V281" s="1">
        <v>5.6</v>
      </c>
      <c r="X281" s="2">
        <v>84.8</v>
      </c>
      <c r="Y281" s="15">
        <v>41730</v>
      </c>
      <c r="Z281" s="15"/>
      <c r="AB281" s="2" t="s">
        <v>897</v>
      </c>
      <c r="AC281" s="2" t="s">
        <v>897</v>
      </c>
      <c r="AD281" s="1" t="s">
        <v>994</v>
      </c>
      <c r="AE281" s="1"/>
      <c r="AF281" s="2" t="s">
        <v>926</v>
      </c>
      <c r="AG281" s="2" t="s">
        <v>936</v>
      </c>
      <c r="AH281" s="2" t="s">
        <v>996</v>
      </c>
      <c r="AI281" s="2" t="s">
        <v>924</v>
      </c>
      <c r="AJ281" s="2">
        <v>0.25</v>
      </c>
      <c r="AK281" s="1">
        <v>5.6</v>
      </c>
      <c r="AL281" s="1">
        <v>6.4</v>
      </c>
      <c r="AM281" s="1"/>
      <c r="AN281" s="1"/>
      <c r="AO281" s="1"/>
      <c r="AP281" s="1"/>
      <c r="AQ281" s="1"/>
      <c r="AR281" s="1"/>
      <c r="AS281" s="1"/>
      <c r="AU281" s="2">
        <v>88</v>
      </c>
      <c r="AV281" s="1"/>
      <c r="AX281" s="1"/>
      <c r="AY281" s="1"/>
    </row>
    <row r="282" spans="1:51" s="2" customFormat="1" ht="27.75" customHeight="1" thickTop="1" thickBot="1" x14ac:dyDescent="0.4">
      <c r="A282" s="1">
        <v>58</v>
      </c>
      <c r="B282" s="2" t="s">
        <v>991</v>
      </c>
      <c r="C282" s="2" t="s">
        <v>992</v>
      </c>
      <c r="D282" s="2" t="s">
        <v>490</v>
      </c>
      <c r="E282" s="29" t="s">
        <v>875</v>
      </c>
      <c r="H282" s="2">
        <v>768</v>
      </c>
      <c r="I282" s="2">
        <v>77</v>
      </c>
      <c r="J282" s="2" t="s">
        <v>880</v>
      </c>
      <c r="K282" s="1">
        <v>2014</v>
      </c>
      <c r="L282" s="1">
        <v>2014</v>
      </c>
      <c r="M282" s="2" t="s">
        <v>993</v>
      </c>
      <c r="N282" s="2" t="s">
        <v>885</v>
      </c>
      <c r="O282" s="2" t="s">
        <v>209</v>
      </c>
      <c r="P282" s="2" t="s">
        <v>534</v>
      </c>
      <c r="Q282" s="1" t="s">
        <v>93</v>
      </c>
      <c r="R282" s="1">
        <v>6.4</v>
      </c>
      <c r="S282" s="1"/>
      <c r="T282" s="1"/>
      <c r="U282" s="1"/>
      <c r="V282" s="1">
        <v>7.2</v>
      </c>
      <c r="X282" s="2">
        <v>80</v>
      </c>
      <c r="Y282" s="15">
        <v>41730</v>
      </c>
      <c r="Z282" s="15"/>
      <c r="AB282" s="2" t="s">
        <v>897</v>
      </c>
      <c r="AC282" s="2" t="s">
        <v>897</v>
      </c>
      <c r="AD282" s="1" t="s">
        <v>208</v>
      </c>
      <c r="AE282" s="1" t="s">
        <v>933</v>
      </c>
      <c r="AF282" s="2" t="s">
        <v>926</v>
      </c>
      <c r="AG282" s="2" t="s">
        <v>936</v>
      </c>
      <c r="AH282" s="2" t="s">
        <v>101</v>
      </c>
      <c r="AI282" s="2" t="s">
        <v>914</v>
      </c>
      <c r="AK282" s="1" t="s">
        <v>101</v>
      </c>
      <c r="AL282" s="1" t="s">
        <v>101</v>
      </c>
      <c r="AM282" s="1"/>
      <c r="AN282" s="1"/>
      <c r="AO282" s="1"/>
      <c r="AP282" s="1"/>
      <c r="AQ282" s="1"/>
      <c r="AR282" s="1"/>
      <c r="AS282" s="1"/>
      <c r="AU282" s="2">
        <v>96</v>
      </c>
      <c r="AV282" s="1"/>
      <c r="AX282" s="1"/>
      <c r="AY282" s="1"/>
    </row>
    <row r="283" spans="1:51" ht="27.75" customHeight="1" thickTop="1" thickBot="1" x14ac:dyDescent="0.4">
      <c r="A283" s="1">
        <v>58</v>
      </c>
      <c r="B283" s="2" t="s">
        <v>991</v>
      </c>
      <c r="C283" s="2" t="s">
        <v>992</v>
      </c>
      <c r="D283" s="2" t="s">
        <v>490</v>
      </c>
      <c r="E283" s="29" t="s">
        <v>875</v>
      </c>
      <c r="F283"/>
      <c r="G283"/>
      <c r="H283" s="2">
        <v>768</v>
      </c>
      <c r="I283" s="2">
        <v>77</v>
      </c>
      <c r="J283" s="2" t="s">
        <v>880</v>
      </c>
      <c r="K283" s="1">
        <v>2014</v>
      </c>
      <c r="L283" s="1">
        <v>2014</v>
      </c>
      <c r="M283" s="2" t="s">
        <v>993</v>
      </c>
      <c r="N283" s="2" t="s">
        <v>885</v>
      </c>
      <c r="O283" s="2" t="s">
        <v>209</v>
      </c>
      <c r="P283" s="2" t="s">
        <v>534</v>
      </c>
      <c r="Q283" s="1" t="s">
        <v>93</v>
      </c>
      <c r="R283" s="1">
        <v>6.4</v>
      </c>
      <c r="S283"/>
      <c r="T283"/>
      <c r="U283"/>
      <c r="V283" s="1">
        <v>5.7</v>
      </c>
      <c r="W283"/>
      <c r="X283" s="2">
        <v>84.8</v>
      </c>
      <c r="Y283" s="15">
        <v>41760</v>
      </c>
      <c r="Z283"/>
      <c r="AA283"/>
      <c r="AB283" s="2" t="s">
        <v>897</v>
      </c>
      <c r="AC283" s="2" t="s">
        <v>897</v>
      </c>
      <c r="AD283" s="1" t="s">
        <v>997</v>
      </c>
      <c r="AE283" s="1" t="s">
        <v>936</v>
      </c>
      <c r="AF283" s="2" t="s">
        <v>997</v>
      </c>
      <c r="AG283" s="2" t="s">
        <v>936</v>
      </c>
      <c r="AH283" s="2" t="s">
        <v>998</v>
      </c>
      <c r="AI283" s="2" t="s">
        <v>924</v>
      </c>
      <c r="AJ283" s="2">
        <v>0.3</v>
      </c>
      <c r="AK283" s="1">
        <v>5.7</v>
      </c>
      <c r="AL283" s="1">
        <v>6.5</v>
      </c>
      <c r="AM283"/>
      <c r="AN283"/>
      <c r="AO283"/>
      <c r="AP283"/>
      <c r="AQ283"/>
      <c r="AR283"/>
      <c r="AS283"/>
      <c r="AT283"/>
      <c r="AU283" s="2">
        <v>74</v>
      </c>
      <c r="AV283"/>
    </row>
    <row r="284" spans="1:51" ht="73.5" thickTop="1" thickBot="1" x14ac:dyDescent="0.4">
      <c r="A284" s="1">
        <v>58</v>
      </c>
      <c r="B284" s="2" t="s">
        <v>991</v>
      </c>
      <c r="C284" s="2" t="s">
        <v>992</v>
      </c>
      <c r="D284" s="2" t="s">
        <v>490</v>
      </c>
      <c r="E284" s="29" t="s">
        <v>875</v>
      </c>
      <c r="F284"/>
      <c r="G284"/>
      <c r="H284" s="2">
        <v>786</v>
      </c>
      <c r="I284" s="2">
        <v>69</v>
      </c>
      <c r="J284" s="2" t="s">
        <v>880</v>
      </c>
      <c r="K284" s="1">
        <v>2014</v>
      </c>
      <c r="L284" s="1">
        <v>2014</v>
      </c>
      <c r="M284" s="2" t="s">
        <v>508</v>
      </c>
      <c r="N284" s="2" t="s">
        <v>885</v>
      </c>
      <c r="O284" s="2" t="s">
        <v>209</v>
      </c>
      <c r="P284" s="2" t="s">
        <v>534</v>
      </c>
      <c r="Q284" s="1" t="s">
        <v>93</v>
      </c>
      <c r="R284" s="1">
        <v>6.2</v>
      </c>
      <c r="S284"/>
      <c r="T284"/>
      <c r="U284"/>
      <c r="V284" s="1">
        <v>7.3</v>
      </c>
      <c r="W284"/>
      <c r="X284" s="2">
        <v>84.8</v>
      </c>
      <c r="Y284" s="15">
        <v>41732</v>
      </c>
      <c r="Z284"/>
      <c r="AA284"/>
      <c r="AB284" s="2" t="s">
        <v>897</v>
      </c>
      <c r="AC284" s="2" t="s">
        <v>897</v>
      </c>
      <c r="AD284" s="1" t="s">
        <v>997</v>
      </c>
      <c r="AE284" s="1" t="s">
        <v>936</v>
      </c>
      <c r="AF284" s="2" t="s">
        <v>997</v>
      </c>
      <c r="AG284" s="2" t="s">
        <v>936</v>
      </c>
      <c r="AH284" s="2" t="s">
        <v>998</v>
      </c>
      <c r="AI284" s="2" t="s">
        <v>924</v>
      </c>
      <c r="AJ284"/>
      <c r="AK284" s="1">
        <v>6.5</v>
      </c>
      <c r="AL284" s="1">
        <v>5.7</v>
      </c>
      <c r="AM284"/>
      <c r="AN284"/>
      <c r="AO284"/>
      <c r="AP284"/>
      <c r="AQ284"/>
      <c r="AR284"/>
      <c r="AS284"/>
      <c r="AT284"/>
      <c r="AU284" s="2">
        <v>61</v>
      </c>
      <c r="AV284"/>
    </row>
    <row r="285" spans="1:51" ht="73.5" thickTop="1" thickBot="1" x14ac:dyDescent="0.4">
      <c r="A285" s="1">
        <v>58</v>
      </c>
      <c r="B285" s="2" t="s">
        <v>991</v>
      </c>
      <c r="C285" s="2" t="s">
        <v>992</v>
      </c>
      <c r="D285" s="2" t="s">
        <v>490</v>
      </c>
      <c r="E285" s="29" t="s">
        <v>875</v>
      </c>
      <c r="F285"/>
      <c r="G285"/>
      <c r="H285" s="2">
        <v>786</v>
      </c>
      <c r="I285" s="2">
        <v>69</v>
      </c>
      <c r="J285" s="2" t="s">
        <v>880</v>
      </c>
      <c r="K285" s="1">
        <v>2014</v>
      </c>
      <c r="L285" s="1">
        <v>2014</v>
      </c>
      <c r="M285" s="2" t="s">
        <v>508</v>
      </c>
      <c r="N285" s="2" t="s">
        <v>885</v>
      </c>
      <c r="O285" s="2" t="s">
        <v>999</v>
      </c>
      <c r="P285" s="2" t="s">
        <v>534</v>
      </c>
      <c r="Q285" s="1" t="s">
        <v>93</v>
      </c>
      <c r="R285" s="1">
        <v>3.5</v>
      </c>
      <c r="S285"/>
      <c r="T285"/>
      <c r="U285"/>
      <c r="V285" s="1">
        <v>7.6</v>
      </c>
      <c r="W285"/>
      <c r="X285" s="2">
        <v>79.5</v>
      </c>
      <c r="Y285" s="15">
        <v>41732</v>
      </c>
      <c r="Z285"/>
      <c r="AA285"/>
      <c r="AB285" s="2" t="s">
        <v>897</v>
      </c>
      <c r="AC285" s="2" t="s">
        <v>897</v>
      </c>
      <c r="AD285" s="1" t="s">
        <v>997</v>
      </c>
      <c r="AE285" s="1" t="s">
        <v>936</v>
      </c>
      <c r="AF285" s="2" t="s">
        <v>997</v>
      </c>
      <c r="AG285" s="2" t="s">
        <v>936</v>
      </c>
      <c r="AH285" s="2" t="s">
        <v>959</v>
      </c>
      <c r="AI285" s="2" t="s">
        <v>924</v>
      </c>
      <c r="AJ285"/>
      <c r="AK285" s="1">
        <v>6.5</v>
      </c>
      <c r="AL285" s="1">
        <v>4.3</v>
      </c>
      <c r="AM285"/>
      <c r="AN285"/>
      <c r="AO285"/>
      <c r="AP285"/>
      <c r="AQ285"/>
      <c r="AR285"/>
      <c r="AS285"/>
      <c r="AT285"/>
      <c r="AU285" s="2">
        <v>57</v>
      </c>
      <c r="AV285"/>
    </row>
    <row r="286" spans="1:51" ht="73.5" thickTop="1" thickBot="1" x14ac:dyDescent="0.4">
      <c r="A286" s="1">
        <v>58</v>
      </c>
      <c r="B286" s="2" t="s">
        <v>1000</v>
      </c>
      <c r="C286" s="2" t="s">
        <v>1001</v>
      </c>
      <c r="D286" s="2" t="s">
        <v>490</v>
      </c>
      <c r="E286" s="29" t="s">
        <v>875</v>
      </c>
      <c r="F286"/>
      <c r="G286"/>
      <c r="H286" s="2">
        <v>786</v>
      </c>
      <c r="I286" s="2">
        <v>69</v>
      </c>
      <c r="J286" s="2" t="s">
        <v>880</v>
      </c>
      <c r="K286" s="1">
        <v>2014</v>
      </c>
      <c r="L286" s="1">
        <v>2014</v>
      </c>
      <c r="M286" s="2" t="s">
        <v>508</v>
      </c>
      <c r="N286" s="2" t="s">
        <v>885</v>
      </c>
      <c r="O286" s="2" t="s">
        <v>1002</v>
      </c>
      <c r="P286" s="2" t="s">
        <v>1003</v>
      </c>
      <c r="Q286" s="1" t="s">
        <v>93</v>
      </c>
      <c r="R286" s="1">
        <v>1.4</v>
      </c>
      <c r="S286"/>
      <c r="T286"/>
      <c r="U286"/>
      <c r="V286" s="1">
        <v>7.2</v>
      </c>
      <c r="W286"/>
      <c r="X286" s="2">
        <v>78.8</v>
      </c>
      <c r="Y286" s="15">
        <v>41732</v>
      </c>
      <c r="Z286"/>
      <c r="AA286"/>
      <c r="AB286" s="2" t="s">
        <v>897</v>
      </c>
      <c r="AC286" s="2" t="s">
        <v>897</v>
      </c>
      <c r="AD286" s="1" t="s">
        <v>997</v>
      </c>
      <c r="AE286" s="1" t="s">
        <v>936</v>
      </c>
      <c r="AF286" s="2" t="s">
        <v>997</v>
      </c>
      <c r="AG286" s="2" t="s">
        <v>936</v>
      </c>
      <c r="AH286" s="2" t="s">
        <v>998</v>
      </c>
      <c r="AI286" s="2" t="s">
        <v>924</v>
      </c>
      <c r="AJ286"/>
      <c r="AK286" s="1">
        <v>6</v>
      </c>
      <c r="AL286" s="1">
        <v>1.5</v>
      </c>
      <c r="AM286"/>
      <c r="AN286"/>
      <c r="AO286"/>
      <c r="AP286"/>
      <c r="AQ286"/>
      <c r="AR286"/>
      <c r="AS286"/>
      <c r="AT286"/>
      <c r="AU286" s="2">
        <v>74</v>
      </c>
      <c r="AV286"/>
    </row>
    <row r="287" spans="1:51" ht="73.5" thickTop="1" thickBot="1" x14ac:dyDescent="0.4">
      <c r="A287" s="1">
        <v>58</v>
      </c>
      <c r="B287" s="2" t="s">
        <v>1004</v>
      </c>
      <c r="C287" s="2" t="s">
        <v>1005</v>
      </c>
      <c r="D287" s="2" t="s">
        <v>490</v>
      </c>
      <c r="E287" s="29" t="s">
        <v>875</v>
      </c>
      <c r="F287"/>
      <c r="G287"/>
      <c r="H287" s="2">
        <v>786</v>
      </c>
      <c r="I287" s="2">
        <v>69</v>
      </c>
      <c r="J287" s="2" t="s">
        <v>880</v>
      </c>
      <c r="K287" s="1">
        <v>2014</v>
      </c>
      <c r="L287" s="1">
        <v>2014</v>
      </c>
      <c r="M287" s="2" t="s">
        <v>508</v>
      </c>
      <c r="N287" s="2" t="s">
        <v>885</v>
      </c>
      <c r="O287" s="2" t="s">
        <v>1006</v>
      </c>
      <c r="P287" s="2" t="s">
        <v>889</v>
      </c>
      <c r="Q287" s="1" t="s">
        <v>93</v>
      </c>
      <c r="R287" s="1">
        <v>2.8</v>
      </c>
      <c r="S287"/>
      <c r="T287"/>
      <c r="U287"/>
      <c r="V287" s="1">
        <v>7.1</v>
      </c>
      <c r="W287"/>
      <c r="X287" s="2">
        <v>84.4</v>
      </c>
      <c r="Y287" s="15">
        <v>41732</v>
      </c>
      <c r="Z287"/>
      <c r="AA287"/>
      <c r="AB287" s="2" t="s">
        <v>897</v>
      </c>
      <c r="AC287" s="2" t="s">
        <v>897</v>
      </c>
      <c r="AD287" s="1" t="s">
        <v>997</v>
      </c>
      <c r="AE287" s="1" t="s">
        <v>936</v>
      </c>
      <c r="AF287" s="2" t="s">
        <v>997</v>
      </c>
      <c r="AG287" s="2" t="s">
        <v>936</v>
      </c>
      <c r="AH287" s="2" t="s">
        <v>998</v>
      </c>
      <c r="AI287" s="2" t="s">
        <v>924</v>
      </c>
      <c r="AJ287"/>
      <c r="AK287" s="1">
        <v>5.4</v>
      </c>
      <c r="AL287" s="1">
        <v>3</v>
      </c>
      <c r="AM287"/>
      <c r="AN287"/>
      <c r="AO287"/>
      <c r="AP287"/>
      <c r="AQ287"/>
      <c r="AR287"/>
      <c r="AS287"/>
      <c r="AT287"/>
      <c r="AU287" s="2">
        <v>0.5</v>
      </c>
      <c r="AV287"/>
    </row>
    <row r="288" spans="1:51" ht="73.5" thickTop="1" thickBot="1" x14ac:dyDescent="0.4">
      <c r="A288" s="1">
        <v>58</v>
      </c>
      <c r="B288" s="2" t="s">
        <v>1007</v>
      </c>
      <c r="C288" s="2" t="s">
        <v>1008</v>
      </c>
      <c r="D288" s="2" t="s">
        <v>490</v>
      </c>
      <c r="E288" s="29" t="s">
        <v>875</v>
      </c>
      <c r="F288"/>
      <c r="G288"/>
      <c r="H288" s="2">
        <v>786</v>
      </c>
      <c r="I288" s="2">
        <v>69</v>
      </c>
      <c r="J288" s="2" t="s">
        <v>880</v>
      </c>
      <c r="K288" s="1">
        <v>2014</v>
      </c>
      <c r="L288" s="1">
        <v>2014</v>
      </c>
      <c r="M288" s="2" t="s">
        <v>508</v>
      </c>
      <c r="N288" s="2" t="s">
        <v>885</v>
      </c>
      <c r="O288" s="2" t="s">
        <v>1009</v>
      </c>
      <c r="P288" s="2" t="s">
        <v>534</v>
      </c>
      <c r="Q288" s="1" t="s">
        <v>93</v>
      </c>
      <c r="R288" s="1">
        <v>2.4</v>
      </c>
      <c r="S288"/>
      <c r="T288"/>
      <c r="U288"/>
      <c r="V288" s="1">
        <v>8</v>
      </c>
      <c r="W288"/>
      <c r="X288" s="2">
        <v>79.5</v>
      </c>
      <c r="Y288" s="15">
        <v>41732</v>
      </c>
      <c r="Z288"/>
      <c r="AA288"/>
      <c r="AB288" s="2" t="s">
        <v>897</v>
      </c>
      <c r="AC288" s="2" t="s">
        <v>897</v>
      </c>
      <c r="AD288" s="1" t="s">
        <v>997</v>
      </c>
      <c r="AE288" s="1" t="s">
        <v>936</v>
      </c>
      <c r="AF288" s="2" t="s">
        <v>997</v>
      </c>
      <c r="AG288" s="2" t="s">
        <v>936</v>
      </c>
      <c r="AH288" s="2" t="s">
        <v>1010</v>
      </c>
      <c r="AI288" s="2" t="s">
        <v>924</v>
      </c>
      <c r="AJ288"/>
      <c r="AK288" s="1">
        <v>6.6</v>
      </c>
      <c r="AL288" s="1">
        <v>2.7</v>
      </c>
      <c r="AM288"/>
      <c r="AN288"/>
      <c r="AO288"/>
      <c r="AP288"/>
      <c r="AQ288"/>
      <c r="AR288"/>
      <c r="AS288"/>
      <c r="AT288"/>
      <c r="AU288" s="2">
        <v>57</v>
      </c>
    </row>
    <row r="289" spans="1:47" ht="73.5" thickTop="1" thickBot="1" x14ac:dyDescent="0.4">
      <c r="A289" s="1">
        <v>58</v>
      </c>
      <c r="B289" s="2" t="s">
        <v>991</v>
      </c>
      <c r="C289" s="2" t="s">
        <v>992</v>
      </c>
      <c r="D289" s="2" t="s">
        <v>490</v>
      </c>
      <c r="E289" s="29" t="s">
        <v>875</v>
      </c>
      <c r="F289"/>
      <c r="G289"/>
      <c r="H289" s="2">
        <v>786</v>
      </c>
      <c r="I289" s="2">
        <v>69</v>
      </c>
      <c r="J289" s="2" t="s">
        <v>880</v>
      </c>
      <c r="K289" s="1">
        <v>2014</v>
      </c>
      <c r="L289" s="1">
        <v>2014</v>
      </c>
      <c r="M289" s="2" t="s">
        <v>508</v>
      </c>
      <c r="N289" s="2" t="s">
        <v>885</v>
      </c>
      <c r="O289" s="2" t="s">
        <v>209</v>
      </c>
      <c r="P289" s="2" t="s">
        <v>534</v>
      </c>
      <c r="Q289" s="1" t="s">
        <v>93</v>
      </c>
      <c r="R289" s="1">
        <v>6.2</v>
      </c>
      <c r="S289"/>
      <c r="T289"/>
      <c r="U289"/>
      <c r="V289" s="1">
        <v>7.4</v>
      </c>
      <c r="W289"/>
      <c r="X289" s="2">
        <v>84.8</v>
      </c>
      <c r="Y289" s="15">
        <v>41759</v>
      </c>
      <c r="Z289"/>
      <c r="AA289"/>
      <c r="AB289" s="2" t="s">
        <v>897</v>
      </c>
      <c r="AC289" s="2" t="s">
        <v>897</v>
      </c>
      <c r="AD289" s="1" t="s">
        <v>997</v>
      </c>
      <c r="AE289" s="1" t="s">
        <v>936</v>
      </c>
      <c r="AF289" s="2" t="s">
        <v>997</v>
      </c>
      <c r="AG289" s="2" t="s">
        <v>936</v>
      </c>
      <c r="AH289" s="2" t="s">
        <v>998</v>
      </c>
      <c r="AI289" s="2" t="s">
        <v>924</v>
      </c>
      <c r="AJ289"/>
      <c r="AK289" s="1">
        <v>6.2</v>
      </c>
      <c r="AL289" s="1">
        <v>5.7</v>
      </c>
      <c r="AM289"/>
      <c r="AN289"/>
      <c r="AO289"/>
      <c r="AP289"/>
      <c r="AQ289"/>
      <c r="AR289"/>
      <c r="AS289"/>
      <c r="AT289"/>
      <c r="AU289" s="2">
        <v>67</v>
      </c>
    </row>
    <row r="290" spans="1:47" ht="73.5" thickTop="1" thickBot="1" x14ac:dyDescent="0.4">
      <c r="A290" s="1">
        <v>58</v>
      </c>
      <c r="B290" s="2" t="s">
        <v>991</v>
      </c>
      <c r="C290" s="2" t="s">
        <v>992</v>
      </c>
      <c r="D290" s="2" t="s">
        <v>490</v>
      </c>
      <c r="E290" s="29" t="s">
        <v>875</v>
      </c>
      <c r="F290"/>
      <c r="G290"/>
      <c r="H290" s="2">
        <v>786</v>
      </c>
      <c r="I290" s="2">
        <v>69</v>
      </c>
      <c r="J290" s="2" t="s">
        <v>880</v>
      </c>
      <c r="K290" s="1">
        <v>2014</v>
      </c>
      <c r="L290" s="1">
        <v>2014</v>
      </c>
      <c r="M290" s="2" t="s">
        <v>508</v>
      </c>
      <c r="N290" s="2" t="s">
        <v>885</v>
      </c>
      <c r="O290" s="2" t="s">
        <v>999</v>
      </c>
      <c r="P290" s="2" t="s">
        <v>534</v>
      </c>
      <c r="Q290" s="1" t="s">
        <v>93</v>
      </c>
      <c r="R290" s="1">
        <v>3.5</v>
      </c>
      <c r="S290"/>
      <c r="T290"/>
      <c r="U290"/>
      <c r="V290" s="1">
        <v>6.7</v>
      </c>
      <c r="W290"/>
      <c r="X290" s="2">
        <v>79.5</v>
      </c>
      <c r="Y290" s="15">
        <v>41759</v>
      </c>
      <c r="Z290"/>
      <c r="AA290"/>
      <c r="AB290" s="2" t="s">
        <v>897</v>
      </c>
      <c r="AC290" s="2" t="s">
        <v>897</v>
      </c>
      <c r="AD290" s="1" t="s">
        <v>997</v>
      </c>
      <c r="AE290" s="1" t="s">
        <v>936</v>
      </c>
      <c r="AF290" s="2" t="s">
        <v>997</v>
      </c>
      <c r="AG290" s="2" t="s">
        <v>936</v>
      </c>
      <c r="AH290" s="2" t="s">
        <v>959</v>
      </c>
      <c r="AI290" s="2" t="s">
        <v>924</v>
      </c>
      <c r="AJ290"/>
      <c r="AK290" s="1">
        <v>3.2</v>
      </c>
      <c r="AL290" s="1">
        <v>4.3</v>
      </c>
      <c r="AM290"/>
      <c r="AN290"/>
      <c r="AO290"/>
      <c r="AP290"/>
      <c r="AQ290"/>
      <c r="AR290"/>
      <c r="AS290"/>
      <c r="AT290"/>
      <c r="AU290" s="2">
        <v>45</v>
      </c>
    </row>
    <row r="291" spans="1:47" ht="73.5" thickTop="1" thickBot="1" x14ac:dyDescent="0.4">
      <c r="A291" s="1">
        <v>58</v>
      </c>
      <c r="B291" s="2" t="s">
        <v>1000</v>
      </c>
      <c r="C291" s="2" t="s">
        <v>1001</v>
      </c>
      <c r="D291" s="2" t="s">
        <v>490</v>
      </c>
      <c r="E291" s="29" t="s">
        <v>875</v>
      </c>
      <c r="F291"/>
      <c r="G291"/>
      <c r="H291" s="2">
        <v>786</v>
      </c>
      <c r="I291" s="2">
        <v>69</v>
      </c>
      <c r="J291" s="2" t="s">
        <v>880</v>
      </c>
      <c r="K291" s="1">
        <v>2014</v>
      </c>
      <c r="L291" s="1">
        <v>2014</v>
      </c>
      <c r="M291" s="2" t="s">
        <v>508</v>
      </c>
      <c r="N291" s="2" t="s">
        <v>885</v>
      </c>
      <c r="O291" s="2" t="s">
        <v>1002</v>
      </c>
      <c r="P291" s="2" t="s">
        <v>1003</v>
      </c>
      <c r="Q291" s="1" t="s">
        <v>93</v>
      </c>
      <c r="R291" s="1">
        <v>1.4</v>
      </c>
      <c r="S291"/>
      <c r="T291"/>
      <c r="U291"/>
      <c r="V291" s="1">
        <v>7</v>
      </c>
      <c r="W291"/>
      <c r="X291" s="2">
        <v>78.8</v>
      </c>
      <c r="Y291" s="15">
        <v>41759</v>
      </c>
      <c r="Z291"/>
      <c r="AA291"/>
      <c r="AB291" s="2" t="s">
        <v>897</v>
      </c>
      <c r="AC291" s="2" t="s">
        <v>897</v>
      </c>
      <c r="AD291" s="1" t="s">
        <v>997</v>
      </c>
      <c r="AE291" s="1" t="s">
        <v>936</v>
      </c>
      <c r="AF291" s="2" t="s">
        <v>997</v>
      </c>
      <c r="AG291" s="2" t="s">
        <v>936</v>
      </c>
      <c r="AH291" s="2" t="s">
        <v>998</v>
      </c>
      <c r="AI291" s="2" t="s">
        <v>924</v>
      </c>
      <c r="AJ291"/>
      <c r="AK291" s="1">
        <v>6.1</v>
      </c>
      <c r="AL291" s="1">
        <v>1.5</v>
      </c>
      <c r="AM291"/>
      <c r="AN291"/>
      <c r="AO291"/>
      <c r="AP291"/>
      <c r="AQ291"/>
      <c r="AR291"/>
      <c r="AS291"/>
      <c r="AT291"/>
      <c r="AU291" s="2">
        <v>45</v>
      </c>
    </row>
    <row r="292" spans="1:47" ht="73.5" thickTop="1" thickBot="1" x14ac:dyDescent="0.4">
      <c r="A292" s="1">
        <v>58</v>
      </c>
      <c r="B292" s="2" t="s">
        <v>1004</v>
      </c>
      <c r="C292" s="2" t="s">
        <v>1005</v>
      </c>
      <c r="D292" s="2" t="s">
        <v>490</v>
      </c>
      <c r="E292" s="29" t="s">
        <v>875</v>
      </c>
      <c r="F292"/>
      <c r="G292"/>
      <c r="H292" s="2">
        <v>786</v>
      </c>
      <c r="I292" s="2">
        <v>69</v>
      </c>
      <c r="J292" s="2" t="s">
        <v>880</v>
      </c>
      <c r="K292" s="1">
        <v>2014</v>
      </c>
      <c r="L292" s="1">
        <v>2014</v>
      </c>
      <c r="M292" s="2" t="s">
        <v>508</v>
      </c>
      <c r="N292" s="2" t="s">
        <v>885</v>
      </c>
      <c r="O292" s="2" t="s">
        <v>1006</v>
      </c>
      <c r="P292" s="2" t="s">
        <v>889</v>
      </c>
      <c r="Q292" s="1" t="s">
        <v>93</v>
      </c>
      <c r="R292" s="1">
        <v>2.8</v>
      </c>
      <c r="S292"/>
      <c r="T292"/>
      <c r="U292"/>
      <c r="V292" s="1">
        <v>6.8</v>
      </c>
      <c r="W292"/>
      <c r="X292" s="2">
        <v>84.4</v>
      </c>
      <c r="Y292" s="15">
        <v>41759</v>
      </c>
      <c r="Z292"/>
      <c r="AA292"/>
      <c r="AB292" s="2" t="s">
        <v>897</v>
      </c>
      <c r="AC292" s="2" t="s">
        <v>897</v>
      </c>
      <c r="AD292" s="1" t="s">
        <v>997</v>
      </c>
      <c r="AE292" s="1" t="s">
        <v>936</v>
      </c>
      <c r="AF292" s="2" t="s">
        <v>997</v>
      </c>
      <c r="AG292" s="2" t="s">
        <v>936</v>
      </c>
      <c r="AH292" s="2" t="s">
        <v>998</v>
      </c>
      <c r="AI292" s="2" t="s">
        <v>924</v>
      </c>
      <c r="AJ292"/>
      <c r="AK292" s="1">
        <v>5.6</v>
      </c>
      <c r="AL292" s="1">
        <v>3</v>
      </c>
      <c r="AM292"/>
      <c r="AN292"/>
      <c r="AO292"/>
      <c r="AP292"/>
      <c r="AQ292"/>
      <c r="AR292"/>
      <c r="AS292"/>
      <c r="AT292"/>
      <c r="AU292" s="2">
        <v>22</v>
      </c>
    </row>
    <row r="293" spans="1:47" ht="73.5" thickTop="1" thickBot="1" x14ac:dyDescent="0.4">
      <c r="A293" s="1">
        <v>58</v>
      </c>
      <c r="B293" s="2" t="s">
        <v>1007</v>
      </c>
      <c r="C293" s="2" t="s">
        <v>1008</v>
      </c>
      <c r="D293" s="2" t="s">
        <v>490</v>
      </c>
      <c r="E293" s="29" t="s">
        <v>875</v>
      </c>
      <c r="F293"/>
      <c r="G293"/>
      <c r="H293" s="2">
        <v>786</v>
      </c>
      <c r="I293" s="2">
        <v>69</v>
      </c>
      <c r="J293" s="2" t="s">
        <v>880</v>
      </c>
      <c r="K293" s="1">
        <v>2014</v>
      </c>
      <c r="L293" s="1">
        <v>2014</v>
      </c>
      <c r="M293" s="2" t="s">
        <v>508</v>
      </c>
      <c r="N293" s="2" t="s">
        <v>885</v>
      </c>
      <c r="O293" s="2" t="s">
        <v>1009</v>
      </c>
      <c r="P293" s="2" t="s">
        <v>534</v>
      </c>
      <c r="Q293" s="1" t="s">
        <v>93</v>
      </c>
      <c r="R293" s="1">
        <v>2.4</v>
      </c>
      <c r="S293"/>
      <c r="T293"/>
      <c r="U293"/>
      <c r="V293" s="1">
        <v>7.9</v>
      </c>
      <c r="W293"/>
      <c r="X293" s="2">
        <v>79.5</v>
      </c>
      <c r="Y293" s="15">
        <v>41759</v>
      </c>
      <c r="Z293"/>
      <c r="AA293"/>
      <c r="AB293" s="2" t="s">
        <v>897</v>
      </c>
      <c r="AC293" s="2" t="s">
        <v>897</v>
      </c>
      <c r="AD293" s="1" t="s">
        <v>997</v>
      </c>
      <c r="AE293" s="1" t="s">
        <v>936</v>
      </c>
      <c r="AF293" s="2" t="s">
        <v>997</v>
      </c>
      <c r="AG293" s="2" t="s">
        <v>936</v>
      </c>
      <c r="AH293" s="2" t="s">
        <v>1010</v>
      </c>
      <c r="AI293" s="2" t="s">
        <v>924</v>
      </c>
      <c r="AJ293"/>
      <c r="AK293" s="1">
        <v>6.5</v>
      </c>
      <c r="AL293" s="1">
        <v>2.7</v>
      </c>
      <c r="AM293"/>
      <c r="AN293"/>
      <c r="AO293"/>
      <c r="AP293"/>
      <c r="AQ293"/>
      <c r="AR293"/>
      <c r="AS293"/>
      <c r="AT293"/>
      <c r="AU293" s="2">
        <v>45</v>
      </c>
    </row>
    <row r="294" spans="1:47" ht="73.5" thickTop="1" thickBot="1" x14ac:dyDescent="0.4">
      <c r="A294" s="1">
        <v>59</v>
      </c>
      <c r="B294" s="2" t="s">
        <v>1011</v>
      </c>
      <c r="C294" s="2" t="s">
        <v>1012</v>
      </c>
      <c r="D294" s="2" t="s">
        <v>490</v>
      </c>
      <c r="E294" s="29" t="s">
        <v>875</v>
      </c>
      <c r="F294"/>
      <c r="G294"/>
      <c r="H294"/>
      <c r="I294"/>
      <c r="J294"/>
      <c r="K294" s="1">
        <v>2012</v>
      </c>
      <c r="L294" s="1">
        <v>2012</v>
      </c>
      <c r="M294" s="2" t="s">
        <v>1013</v>
      </c>
      <c r="N294" s="2" t="s">
        <v>886</v>
      </c>
      <c r="O294"/>
      <c r="P294"/>
      <c r="Q294"/>
      <c r="R294"/>
      <c r="S294"/>
      <c r="T294"/>
      <c r="U294"/>
      <c r="V294"/>
      <c r="W294"/>
      <c r="X294"/>
      <c r="Y294"/>
      <c r="Z294"/>
      <c r="AA294"/>
      <c r="AB294"/>
      <c r="AC294"/>
      <c r="AD294" s="1" t="s">
        <v>1014</v>
      </c>
      <c r="AE294" s="1" t="s">
        <v>933</v>
      </c>
      <c r="AF294" s="2" t="s">
        <v>926</v>
      </c>
      <c r="AG294" s="2" t="s">
        <v>936</v>
      </c>
      <c r="AH294" s="2" t="s">
        <v>101</v>
      </c>
      <c r="AI294" s="2" t="s">
        <v>101</v>
      </c>
      <c r="AJ294"/>
      <c r="AK294"/>
      <c r="AL294"/>
      <c r="AM294"/>
      <c r="AN294"/>
      <c r="AO294"/>
      <c r="AP294"/>
      <c r="AQ294"/>
      <c r="AR294"/>
      <c r="AS294"/>
      <c r="AT294"/>
      <c r="AU294" s="2">
        <v>51.2</v>
      </c>
    </row>
    <row r="295" spans="1:47" ht="73.5" thickTop="1" thickBot="1" x14ac:dyDescent="0.4">
      <c r="A295" s="1">
        <v>59</v>
      </c>
      <c r="B295" s="2" t="s">
        <v>1011</v>
      </c>
      <c r="C295" s="2" t="s">
        <v>1012</v>
      </c>
      <c r="D295" s="2" t="s">
        <v>490</v>
      </c>
      <c r="E295" s="29" t="s">
        <v>875</v>
      </c>
      <c r="F295"/>
      <c r="G295"/>
      <c r="H295"/>
      <c r="I295"/>
      <c r="J295"/>
      <c r="K295" s="1">
        <v>2012</v>
      </c>
      <c r="L295" s="1">
        <v>2012</v>
      </c>
      <c r="M295" s="2" t="s">
        <v>1013</v>
      </c>
      <c r="N295" s="2" t="s">
        <v>886</v>
      </c>
      <c r="O295"/>
      <c r="P295"/>
      <c r="Q295"/>
      <c r="R295"/>
      <c r="S295"/>
      <c r="T295"/>
      <c r="U295"/>
      <c r="V295"/>
      <c r="W295"/>
      <c r="X295"/>
      <c r="Y295"/>
      <c r="Z295"/>
      <c r="AA295"/>
      <c r="AB295"/>
      <c r="AC295"/>
      <c r="AD295" s="1" t="s">
        <v>1015</v>
      </c>
      <c r="AE295" s="1" t="s">
        <v>933</v>
      </c>
      <c r="AF295" s="2" t="s">
        <v>926</v>
      </c>
      <c r="AG295" s="2" t="s">
        <v>936</v>
      </c>
      <c r="AH295" s="2" t="s">
        <v>101</v>
      </c>
      <c r="AI295" s="2" t="s">
        <v>101</v>
      </c>
      <c r="AJ295"/>
      <c r="AK295"/>
      <c r="AL295"/>
      <c r="AM295"/>
      <c r="AN295"/>
      <c r="AO295"/>
      <c r="AP295"/>
      <c r="AQ295"/>
      <c r="AR295"/>
      <c r="AS295"/>
      <c r="AT295"/>
      <c r="AU295" s="2">
        <v>76.400000000000006</v>
      </c>
    </row>
    <row r="296" spans="1:47" ht="73.5" thickTop="1" thickBot="1" x14ac:dyDescent="0.4">
      <c r="A296" s="1">
        <v>59</v>
      </c>
      <c r="B296" s="2" t="s">
        <v>1011</v>
      </c>
      <c r="C296" s="2" t="s">
        <v>1012</v>
      </c>
      <c r="D296" s="2" t="s">
        <v>490</v>
      </c>
      <c r="E296" s="29" t="s">
        <v>875</v>
      </c>
      <c r="F296"/>
      <c r="G296"/>
      <c r="H296"/>
      <c r="I296"/>
      <c r="J296"/>
      <c r="K296" s="1">
        <v>2012</v>
      </c>
      <c r="L296" s="1">
        <v>2012</v>
      </c>
      <c r="M296" s="2" t="s">
        <v>1013</v>
      </c>
      <c r="N296" s="2" t="s">
        <v>886</v>
      </c>
      <c r="O296"/>
      <c r="P296"/>
      <c r="Q296"/>
      <c r="R296"/>
      <c r="S296"/>
      <c r="T296"/>
      <c r="U296"/>
      <c r="V296"/>
      <c r="W296"/>
      <c r="X296"/>
      <c r="Y296"/>
      <c r="Z296"/>
      <c r="AA296"/>
      <c r="AB296"/>
      <c r="AC296"/>
      <c r="AD296" s="1" t="s">
        <v>936</v>
      </c>
      <c r="AE296" s="1" t="s">
        <v>936</v>
      </c>
      <c r="AF296" s="2" t="s">
        <v>926</v>
      </c>
      <c r="AG296" s="2" t="s">
        <v>936</v>
      </c>
      <c r="AH296" s="2" t="s">
        <v>1016</v>
      </c>
      <c r="AI296" s="2" t="s">
        <v>924</v>
      </c>
      <c r="AJ296"/>
      <c r="AK296"/>
      <c r="AL296"/>
      <c r="AM296"/>
      <c r="AN296"/>
      <c r="AO296"/>
      <c r="AP296"/>
      <c r="AQ296"/>
      <c r="AR296"/>
      <c r="AS296"/>
      <c r="AT296"/>
      <c r="AU296" s="2">
        <v>39.5</v>
      </c>
    </row>
    <row r="297" spans="1:47" ht="73.5" thickTop="1" thickBot="1" x14ac:dyDescent="0.4">
      <c r="A297" s="1">
        <v>59</v>
      </c>
      <c r="B297" s="2" t="s">
        <v>1011</v>
      </c>
      <c r="C297" s="2" t="s">
        <v>1012</v>
      </c>
      <c r="D297" s="2" t="s">
        <v>490</v>
      </c>
      <c r="E297" s="29" t="s">
        <v>875</v>
      </c>
      <c r="F297"/>
      <c r="G297"/>
      <c r="H297"/>
      <c r="I297"/>
      <c r="J297"/>
      <c r="K297" s="1">
        <v>2012</v>
      </c>
      <c r="L297" s="1">
        <v>2012</v>
      </c>
      <c r="M297" s="2" t="s">
        <v>1013</v>
      </c>
      <c r="N297" s="2" t="s">
        <v>886</v>
      </c>
      <c r="O297"/>
      <c r="P297"/>
      <c r="Q297"/>
      <c r="R297"/>
      <c r="S297"/>
      <c r="T297"/>
      <c r="U297"/>
      <c r="V297"/>
      <c r="W297"/>
      <c r="X297"/>
      <c r="Y297"/>
      <c r="Z297"/>
      <c r="AA297"/>
      <c r="AB297"/>
      <c r="AC297"/>
      <c r="AD297" s="1" t="s">
        <v>936</v>
      </c>
      <c r="AE297" s="1" t="s">
        <v>936</v>
      </c>
      <c r="AF297" s="2" t="s">
        <v>926</v>
      </c>
      <c r="AG297" s="2" t="s">
        <v>936</v>
      </c>
      <c r="AH297" s="2" t="s">
        <v>1017</v>
      </c>
      <c r="AI297" s="2" t="s">
        <v>924</v>
      </c>
      <c r="AJ297"/>
      <c r="AK297"/>
      <c r="AL297"/>
      <c r="AM297"/>
      <c r="AN297"/>
      <c r="AO297"/>
      <c r="AP297"/>
      <c r="AQ297"/>
      <c r="AR297"/>
      <c r="AS297"/>
      <c r="AT297"/>
      <c r="AU297" s="2">
        <v>66.099999999999994</v>
      </c>
    </row>
    <row r="298" spans="1:47" ht="73.5" thickTop="1" thickBot="1" x14ac:dyDescent="0.4">
      <c r="A298" s="1">
        <v>59</v>
      </c>
      <c r="B298" s="2" t="s">
        <v>1011</v>
      </c>
      <c r="C298" s="2" t="s">
        <v>1012</v>
      </c>
      <c r="D298" s="2" t="s">
        <v>490</v>
      </c>
      <c r="E298" s="29" t="s">
        <v>875</v>
      </c>
      <c r="F298"/>
      <c r="G298"/>
      <c r="H298"/>
      <c r="I298"/>
      <c r="J298"/>
      <c r="K298" s="1">
        <v>2012</v>
      </c>
      <c r="L298" s="1">
        <v>2012</v>
      </c>
      <c r="M298" s="2" t="s">
        <v>1013</v>
      </c>
      <c r="N298" s="2" t="s">
        <v>886</v>
      </c>
      <c r="O298"/>
      <c r="P298"/>
      <c r="Q298"/>
      <c r="R298"/>
      <c r="S298"/>
      <c r="T298"/>
      <c r="U298"/>
      <c r="V298"/>
      <c r="W298"/>
      <c r="X298"/>
      <c r="Y298"/>
      <c r="Z298"/>
      <c r="AA298"/>
      <c r="AB298"/>
      <c r="AC298"/>
      <c r="AD298" s="1" t="s">
        <v>1014</v>
      </c>
      <c r="AE298" s="1" t="s">
        <v>933</v>
      </c>
      <c r="AF298" s="2" t="s">
        <v>926</v>
      </c>
      <c r="AG298" s="2" t="s">
        <v>936</v>
      </c>
      <c r="AH298" s="2" t="s">
        <v>101</v>
      </c>
      <c r="AI298" s="2" t="s">
        <v>101</v>
      </c>
      <c r="AJ298"/>
      <c r="AK298"/>
      <c r="AL298"/>
      <c r="AM298"/>
      <c r="AN298"/>
      <c r="AO298"/>
      <c r="AP298"/>
      <c r="AQ298"/>
      <c r="AR298"/>
      <c r="AS298"/>
      <c r="AT298"/>
      <c r="AU298" s="2">
        <v>28.8</v>
      </c>
    </row>
    <row r="299" spans="1:47" ht="73.5" thickTop="1" thickBot="1" x14ac:dyDescent="0.4">
      <c r="A299" s="1">
        <v>59</v>
      </c>
      <c r="B299" s="2" t="s">
        <v>1011</v>
      </c>
      <c r="C299" s="2" t="s">
        <v>1012</v>
      </c>
      <c r="D299" s="2" t="s">
        <v>490</v>
      </c>
      <c r="E299" s="29" t="s">
        <v>875</v>
      </c>
      <c r="F299"/>
      <c r="G299"/>
      <c r="H299"/>
      <c r="I299"/>
      <c r="J299"/>
      <c r="K299" s="1">
        <v>2012</v>
      </c>
      <c r="L299" s="1">
        <v>2012</v>
      </c>
      <c r="M299" s="2" t="s">
        <v>1013</v>
      </c>
      <c r="N299" s="2" t="s">
        <v>886</v>
      </c>
      <c r="O299"/>
      <c r="P299"/>
      <c r="Q299"/>
      <c r="R299"/>
      <c r="S299"/>
      <c r="T299"/>
      <c r="U299"/>
      <c r="V299"/>
      <c r="W299"/>
      <c r="X299"/>
      <c r="Y299"/>
      <c r="Z299"/>
      <c r="AA299"/>
      <c r="AB299"/>
      <c r="AC299"/>
      <c r="AD299" s="1" t="s">
        <v>1015</v>
      </c>
      <c r="AE299" s="1" t="s">
        <v>933</v>
      </c>
      <c r="AF299" s="2" t="s">
        <v>926</v>
      </c>
      <c r="AG299" s="2" t="s">
        <v>936</v>
      </c>
      <c r="AH299" s="2" t="s">
        <v>101</v>
      </c>
      <c r="AI299" s="2" t="s">
        <v>101</v>
      </c>
      <c r="AJ299"/>
      <c r="AK299"/>
      <c r="AL299"/>
      <c r="AM299"/>
      <c r="AN299"/>
      <c r="AO299"/>
      <c r="AP299"/>
      <c r="AQ299"/>
      <c r="AR299"/>
      <c r="AS299"/>
      <c r="AT299"/>
      <c r="AU299" s="2">
        <v>68.900000000000006</v>
      </c>
    </row>
    <row r="300" spans="1:47" ht="73.5" thickTop="1" thickBot="1" x14ac:dyDescent="0.4">
      <c r="A300" s="1">
        <v>59</v>
      </c>
      <c r="B300" s="2" t="s">
        <v>1011</v>
      </c>
      <c r="C300" s="2" t="s">
        <v>1012</v>
      </c>
      <c r="D300" s="2" t="s">
        <v>490</v>
      </c>
      <c r="E300" s="29" t="s">
        <v>875</v>
      </c>
      <c r="F300"/>
      <c r="G300"/>
      <c r="H300"/>
      <c r="I300"/>
      <c r="J300"/>
      <c r="K300" s="1">
        <v>2012</v>
      </c>
      <c r="L300" s="1">
        <v>2012</v>
      </c>
      <c r="M300" s="2" t="s">
        <v>1013</v>
      </c>
      <c r="N300" s="2" t="s">
        <v>886</v>
      </c>
      <c r="O300"/>
      <c r="P300"/>
      <c r="Q300"/>
      <c r="R300"/>
      <c r="S300"/>
      <c r="T300"/>
      <c r="U300"/>
      <c r="V300"/>
      <c r="W300"/>
      <c r="X300"/>
      <c r="Y300"/>
      <c r="Z300"/>
      <c r="AA300"/>
      <c r="AB300"/>
      <c r="AC300"/>
      <c r="AD300" s="1" t="s">
        <v>936</v>
      </c>
      <c r="AE300" s="1" t="s">
        <v>936</v>
      </c>
      <c r="AF300" s="2" t="s">
        <v>926</v>
      </c>
      <c r="AG300" s="2" t="s">
        <v>936</v>
      </c>
      <c r="AH300" s="2" t="s">
        <v>1016</v>
      </c>
      <c r="AI300" s="2" t="s">
        <v>924</v>
      </c>
      <c r="AJ300"/>
      <c r="AK300"/>
      <c r="AL300"/>
      <c r="AM300"/>
      <c r="AN300"/>
      <c r="AO300"/>
      <c r="AP300"/>
      <c r="AQ300"/>
      <c r="AR300"/>
      <c r="AS300"/>
      <c r="AT300"/>
      <c r="AU300" s="2">
        <v>37.799999999999997</v>
      </c>
    </row>
    <row r="301" spans="1:47" ht="73.5" thickTop="1" thickBot="1" x14ac:dyDescent="0.4">
      <c r="A301" s="1">
        <v>59</v>
      </c>
      <c r="B301" s="2" t="s">
        <v>1011</v>
      </c>
      <c r="C301" s="2" t="s">
        <v>1012</v>
      </c>
      <c r="D301" s="2" t="s">
        <v>490</v>
      </c>
      <c r="E301" s="29" t="s">
        <v>875</v>
      </c>
      <c r="F301"/>
      <c r="G301"/>
      <c r="H301"/>
      <c r="I301"/>
      <c r="J301"/>
      <c r="K301" s="1">
        <v>2012</v>
      </c>
      <c r="L301" s="1">
        <v>2012</v>
      </c>
      <c r="M301" s="2" t="s">
        <v>1013</v>
      </c>
      <c r="N301" s="2" t="s">
        <v>886</v>
      </c>
      <c r="O301"/>
      <c r="P301"/>
      <c r="Q301"/>
      <c r="R301"/>
      <c r="S301"/>
      <c r="T301"/>
      <c r="U301"/>
      <c r="V301"/>
      <c r="W301"/>
      <c r="X301"/>
      <c r="Y301"/>
      <c r="Z301"/>
      <c r="AA301"/>
      <c r="AB301"/>
      <c r="AC301"/>
      <c r="AD301" s="1" t="s">
        <v>936</v>
      </c>
      <c r="AE301" s="1" t="s">
        <v>936</v>
      </c>
      <c r="AF301" s="2" t="s">
        <v>926</v>
      </c>
      <c r="AG301" s="2" t="s">
        <v>936</v>
      </c>
      <c r="AH301" s="2" t="s">
        <v>1017</v>
      </c>
      <c r="AI301" s="2" t="s">
        <v>924</v>
      </c>
      <c r="AJ301"/>
      <c r="AK301"/>
      <c r="AL301"/>
      <c r="AM301"/>
      <c r="AN301"/>
      <c r="AO301"/>
      <c r="AP301"/>
      <c r="AQ301"/>
      <c r="AR301"/>
      <c r="AS301"/>
      <c r="AT301"/>
      <c r="AU301" s="2">
        <v>83.1</v>
      </c>
    </row>
    <row r="302" spans="1:47" ht="73.5" thickTop="1" thickBot="1" x14ac:dyDescent="0.4">
      <c r="A302" s="1">
        <v>59</v>
      </c>
      <c r="B302" s="2" t="s">
        <v>1011</v>
      </c>
      <c r="C302" s="2" t="s">
        <v>1012</v>
      </c>
      <c r="D302" s="2" t="s">
        <v>490</v>
      </c>
      <c r="E302" s="29" t="s">
        <v>875</v>
      </c>
      <c r="F302"/>
      <c r="G302"/>
      <c r="H302"/>
      <c r="I302"/>
      <c r="J302"/>
      <c r="K302" s="1">
        <v>2013</v>
      </c>
      <c r="L302" s="1">
        <v>2013</v>
      </c>
      <c r="M302" s="2" t="s">
        <v>1013</v>
      </c>
      <c r="N302" s="2" t="s">
        <v>886</v>
      </c>
      <c r="O302"/>
      <c r="P302"/>
      <c r="Q302"/>
      <c r="R302"/>
      <c r="S302"/>
      <c r="T302"/>
      <c r="U302"/>
      <c r="V302"/>
      <c r="W302"/>
      <c r="X302"/>
      <c r="Y302"/>
      <c r="Z302"/>
      <c r="AA302"/>
      <c r="AB302"/>
      <c r="AC302"/>
      <c r="AD302" s="1" t="s">
        <v>1014</v>
      </c>
      <c r="AE302" s="1" t="s">
        <v>933</v>
      </c>
      <c r="AF302" s="2" t="s">
        <v>926</v>
      </c>
      <c r="AG302" s="2" t="s">
        <v>936</v>
      </c>
      <c r="AH302" s="2" t="s">
        <v>101</v>
      </c>
      <c r="AI302" s="2" t="s">
        <v>101</v>
      </c>
      <c r="AJ302"/>
      <c r="AK302"/>
      <c r="AL302"/>
      <c r="AM302"/>
      <c r="AN302"/>
      <c r="AO302"/>
      <c r="AP302"/>
      <c r="AQ302"/>
      <c r="AR302"/>
      <c r="AS302"/>
      <c r="AT302"/>
      <c r="AU302" s="2">
        <v>47</v>
      </c>
    </row>
    <row r="303" spans="1:47" ht="73.5" thickTop="1" thickBot="1" x14ac:dyDescent="0.4">
      <c r="A303" s="1">
        <v>59</v>
      </c>
      <c r="B303" s="2" t="s">
        <v>1011</v>
      </c>
      <c r="C303" s="2" t="s">
        <v>1012</v>
      </c>
      <c r="D303" s="2" t="s">
        <v>490</v>
      </c>
      <c r="E303" s="29" t="s">
        <v>875</v>
      </c>
      <c r="F303"/>
      <c r="G303"/>
      <c r="H303"/>
      <c r="I303"/>
      <c r="J303"/>
      <c r="K303" s="1">
        <v>2013</v>
      </c>
      <c r="L303" s="1">
        <v>2013</v>
      </c>
      <c r="M303" s="2" t="s">
        <v>1013</v>
      </c>
      <c r="N303" s="2" t="s">
        <v>886</v>
      </c>
      <c r="O303"/>
      <c r="P303"/>
      <c r="Q303"/>
      <c r="R303"/>
      <c r="S303"/>
      <c r="T303"/>
      <c r="U303"/>
      <c r="V303"/>
      <c r="W303"/>
      <c r="X303"/>
      <c r="Y303"/>
      <c r="Z303"/>
      <c r="AA303"/>
      <c r="AB303"/>
      <c r="AC303"/>
      <c r="AD303" s="1" t="s">
        <v>1015</v>
      </c>
      <c r="AE303" s="1" t="s">
        <v>933</v>
      </c>
      <c r="AF303" s="2" t="s">
        <v>926</v>
      </c>
      <c r="AG303" s="2" t="s">
        <v>936</v>
      </c>
      <c r="AH303" s="2" t="s">
        <v>101</v>
      </c>
      <c r="AI303" s="2" t="s">
        <v>101</v>
      </c>
      <c r="AJ303"/>
      <c r="AK303"/>
      <c r="AL303"/>
      <c r="AM303"/>
      <c r="AN303"/>
      <c r="AO303"/>
      <c r="AP303"/>
      <c r="AQ303"/>
      <c r="AR303"/>
      <c r="AS303"/>
      <c r="AT303"/>
      <c r="AU303" s="2">
        <v>59</v>
      </c>
    </row>
    <row r="304" spans="1:47" ht="73.5" thickTop="1" thickBot="1" x14ac:dyDescent="0.4">
      <c r="A304" s="1">
        <v>59</v>
      </c>
      <c r="B304" s="2" t="s">
        <v>1011</v>
      </c>
      <c r="C304" s="2" t="s">
        <v>1012</v>
      </c>
      <c r="D304" s="2" t="s">
        <v>490</v>
      </c>
      <c r="E304" s="29" t="s">
        <v>875</v>
      </c>
      <c r="F304"/>
      <c r="G304"/>
      <c r="H304"/>
      <c r="I304"/>
      <c r="J304"/>
      <c r="K304" s="1">
        <v>2013</v>
      </c>
      <c r="L304" s="1">
        <v>2013</v>
      </c>
      <c r="M304" s="2" t="s">
        <v>1013</v>
      </c>
      <c r="N304" s="2" t="s">
        <v>886</v>
      </c>
      <c r="O304"/>
      <c r="P304"/>
      <c r="Q304"/>
      <c r="R304"/>
      <c r="S304"/>
      <c r="T304"/>
      <c r="U304"/>
      <c r="V304"/>
      <c r="W304"/>
      <c r="X304"/>
      <c r="Y304"/>
      <c r="Z304"/>
      <c r="AA304"/>
      <c r="AB304"/>
      <c r="AC304"/>
      <c r="AD304" s="1" t="s">
        <v>936</v>
      </c>
      <c r="AE304" s="1" t="s">
        <v>936</v>
      </c>
      <c r="AF304" s="2" t="s">
        <v>926</v>
      </c>
      <c r="AG304" s="2" t="s">
        <v>936</v>
      </c>
      <c r="AH304" s="2" t="s">
        <v>1016</v>
      </c>
      <c r="AI304" s="2" t="s">
        <v>924</v>
      </c>
      <c r="AJ304"/>
      <c r="AK304"/>
      <c r="AL304"/>
      <c r="AM304"/>
      <c r="AN304"/>
      <c r="AO304"/>
      <c r="AP304"/>
      <c r="AQ304"/>
      <c r="AR304"/>
      <c r="AS304"/>
      <c r="AT304"/>
      <c r="AU304" s="2">
        <v>46.1</v>
      </c>
    </row>
    <row r="305" spans="1:47" ht="73.5" thickTop="1" thickBot="1" x14ac:dyDescent="0.4">
      <c r="A305" s="1">
        <v>59</v>
      </c>
      <c r="B305" s="2" t="s">
        <v>1011</v>
      </c>
      <c r="C305" s="2" t="s">
        <v>1012</v>
      </c>
      <c r="D305" s="2" t="s">
        <v>490</v>
      </c>
      <c r="E305" s="29" t="s">
        <v>875</v>
      </c>
      <c r="F305"/>
      <c r="G305"/>
      <c r="H305"/>
      <c r="I305"/>
      <c r="J305"/>
      <c r="K305" s="1">
        <v>2013</v>
      </c>
      <c r="L305" s="1">
        <v>2013</v>
      </c>
      <c r="M305" s="2" t="s">
        <v>1013</v>
      </c>
      <c r="N305" s="2" t="s">
        <v>886</v>
      </c>
      <c r="O305"/>
      <c r="P305"/>
      <c r="Q305"/>
      <c r="R305"/>
      <c r="S305"/>
      <c r="T305"/>
      <c r="U305"/>
      <c r="V305"/>
      <c r="W305"/>
      <c r="X305"/>
      <c r="Y305"/>
      <c r="Z305"/>
      <c r="AA305"/>
      <c r="AB305"/>
      <c r="AC305"/>
      <c r="AD305" s="1" t="s">
        <v>936</v>
      </c>
      <c r="AE305" s="1" t="s">
        <v>936</v>
      </c>
      <c r="AF305" s="2" t="s">
        <v>926</v>
      </c>
      <c r="AG305" s="2" t="s">
        <v>936</v>
      </c>
      <c r="AH305" s="2" t="s">
        <v>1017</v>
      </c>
      <c r="AI305" s="2" t="s">
        <v>924</v>
      </c>
      <c r="AJ305"/>
      <c r="AK305"/>
      <c r="AL305"/>
      <c r="AM305"/>
      <c r="AN305"/>
      <c r="AO305"/>
      <c r="AP305"/>
      <c r="AQ305"/>
      <c r="AR305"/>
      <c r="AS305"/>
      <c r="AT305"/>
      <c r="AU305" s="2">
        <v>69.8</v>
      </c>
    </row>
    <row r="306" spans="1:47" ht="73.5" thickTop="1" thickBot="1" x14ac:dyDescent="0.4">
      <c r="A306" s="1">
        <v>59</v>
      </c>
      <c r="B306" s="2" t="s">
        <v>1011</v>
      </c>
      <c r="C306" s="2" t="s">
        <v>1012</v>
      </c>
      <c r="D306" s="2" t="s">
        <v>490</v>
      </c>
      <c r="E306" s="29" t="s">
        <v>875</v>
      </c>
      <c r="F306"/>
      <c r="G306"/>
      <c r="H306"/>
      <c r="I306"/>
      <c r="J306"/>
      <c r="K306" s="1">
        <v>2013</v>
      </c>
      <c r="L306" s="1">
        <v>2013</v>
      </c>
      <c r="M306" s="2" t="s">
        <v>1013</v>
      </c>
      <c r="N306" s="2" t="s">
        <v>886</v>
      </c>
      <c r="O306"/>
      <c r="P306"/>
      <c r="Q306"/>
      <c r="R306"/>
      <c r="S306"/>
      <c r="T306"/>
      <c r="U306"/>
      <c r="V306"/>
      <c r="W306"/>
      <c r="X306"/>
      <c r="Y306"/>
      <c r="Z306"/>
      <c r="AA306"/>
      <c r="AB306"/>
      <c r="AC306"/>
      <c r="AD306" s="1" t="s">
        <v>1014</v>
      </c>
      <c r="AE306" s="1" t="s">
        <v>933</v>
      </c>
      <c r="AF306" s="2" t="s">
        <v>926</v>
      </c>
      <c r="AG306" s="2" t="s">
        <v>936</v>
      </c>
      <c r="AH306" s="2" t="s">
        <v>101</v>
      </c>
      <c r="AI306" s="2" t="s">
        <v>101</v>
      </c>
      <c r="AJ306"/>
      <c r="AK306"/>
      <c r="AL306"/>
      <c r="AM306"/>
      <c r="AN306"/>
      <c r="AO306"/>
      <c r="AP306"/>
      <c r="AQ306"/>
      <c r="AR306"/>
      <c r="AS306"/>
      <c r="AT306"/>
      <c r="AU306" s="2">
        <v>22.3</v>
      </c>
    </row>
    <row r="307" spans="1:47" ht="73.5" thickTop="1" thickBot="1" x14ac:dyDescent="0.4">
      <c r="A307" s="1">
        <v>59</v>
      </c>
      <c r="B307" s="2" t="s">
        <v>1011</v>
      </c>
      <c r="C307" s="2" t="s">
        <v>1012</v>
      </c>
      <c r="D307" s="2" t="s">
        <v>490</v>
      </c>
      <c r="E307" s="29" t="s">
        <v>875</v>
      </c>
      <c r="F307"/>
      <c r="G307"/>
      <c r="H307"/>
      <c r="I307"/>
      <c r="J307"/>
      <c r="K307" s="1">
        <v>2013</v>
      </c>
      <c r="L307" s="1">
        <v>2013</v>
      </c>
      <c r="M307" s="2" t="s">
        <v>1013</v>
      </c>
      <c r="N307" s="2" t="s">
        <v>886</v>
      </c>
      <c r="O307"/>
      <c r="P307"/>
      <c r="Q307"/>
      <c r="R307"/>
      <c r="S307"/>
      <c r="T307"/>
      <c r="U307"/>
      <c r="V307"/>
      <c r="W307"/>
      <c r="X307"/>
      <c r="Y307"/>
      <c r="Z307"/>
      <c r="AA307"/>
      <c r="AB307"/>
      <c r="AC307"/>
      <c r="AD307" s="1" t="s">
        <v>1015</v>
      </c>
      <c r="AE307" s="1" t="s">
        <v>933</v>
      </c>
      <c r="AF307" s="2" t="s">
        <v>926</v>
      </c>
      <c r="AG307" s="2" t="s">
        <v>936</v>
      </c>
      <c r="AH307" s="2" t="s">
        <v>101</v>
      </c>
      <c r="AI307" s="2" t="s">
        <v>101</v>
      </c>
      <c r="AJ307"/>
      <c r="AK307"/>
      <c r="AL307"/>
      <c r="AM307"/>
      <c r="AN307"/>
      <c r="AO307"/>
      <c r="AP307"/>
      <c r="AQ307"/>
      <c r="AR307"/>
      <c r="AS307"/>
      <c r="AT307"/>
      <c r="AU307" s="2">
        <v>45.2</v>
      </c>
    </row>
    <row r="308" spans="1:47" ht="73.5" thickTop="1" thickBot="1" x14ac:dyDescent="0.4">
      <c r="A308" s="1">
        <v>59</v>
      </c>
      <c r="B308" s="2" t="s">
        <v>1011</v>
      </c>
      <c r="C308" s="2" t="s">
        <v>1012</v>
      </c>
      <c r="D308" s="2" t="s">
        <v>490</v>
      </c>
      <c r="E308" s="29" t="s">
        <v>875</v>
      </c>
      <c r="F308"/>
      <c r="G308"/>
      <c r="H308"/>
      <c r="I308"/>
      <c r="J308"/>
      <c r="K308" s="1">
        <v>2013</v>
      </c>
      <c r="L308" s="1">
        <v>2013</v>
      </c>
      <c r="M308" s="2" t="s">
        <v>1013</v>
      </c>
      <c r="N308" s="2" t="s">
        <v>886</v>
      </c>
      <c r="O308"/>
      <c r="P308"/>
      <c r="Q308"/>
      <c r="R308"/>
      <c r="S308"/>
      <c r="T308"/>
      <c r="U308"/>
      <c r="V308"/>
      <c r="W308"/>
      <c r="X308"/>
      <c r="Y308"/>
      <c r="Z308"/>
      <c r="AA308"/>
      <c r="AB308"/>
      <c r="AC308"/>
      <c r="AD308" s="1" t="s">
        <v>936</v>
      </c>
      <c r="AE308" s="1" t="s">
        <v>936</v>
      </c>
      <c r="AF308" s="2" t="s">
        <v>926</v>
      </c>
      <c r="AG308" s="2" t="s">
        <v>936</v>
      </c>
      <c r="AH308" s="2" t="s">
        <v>1016</v>
      </c>
      <c r="AI308" s="2" t="s">
        <v>924</v>
      </c>
      <c r="AJ308"/>
      <c r="AK308"/>
      <c r="AL308"/>
      <c r="AM308"/>
      <c r="AN308"/>
      <c r="AO308"/>
      <c r="AP308"/>
      <c r="AQ308"/>
      <c r="AR308"/>
      <c r="AS308"/>
      <c r="AT308"/>
      <c r="AU308" s="2">
        <v>47.4</v>
      </c>
    </row>
    <row r="309" spans="1:47" ht="73.5" thickTop="1" thickBot="1" x14ac:dyDescent="0.4">
      <c r="A309" s="1">
        <v>59</v>
      </c>
      <c r="B309" s="2" t="s">
        <v>1011</v>
      </c>
      <c r="C309" s="2" t="s">
        <v>1012</v>
      </c>
      <c r="D309" s="2" t="s">
        <v>490</v>
      </c>
      <c r="E309" s="29" t="s">
        <v>875</v>
      </c>
      <c r="F309"/>
      <c r="G309"/>
      <c r="H309"/>
      <c r="I309"/>
      <c r="J309"/>
      <c r="K309" s="1">
        <v>2013</v>
      </c>
      <c r="L309" s="1">
        <v>2013</v>
      </c>
      <c r="M309" s="2" t="s">
        <v>1013</v>
      </c>
      <c r="N309" s="2" t="s">
        <v>886</v>
      </c>
      <c r="O309"/>
      <c r="P309"/>
      <c r="Q309"/>
      <c r="R309"/>
      <c r="S309"/>
      <c r="T309"/>
      <c r="U309"/>
      <c r="V309"/>
      <c r="W309"/>
      <c r="X309"/>
      <c r="Y309"/>
      <c r="Z309"/>
      <c r="AA309"/>
      <c r="AB309"/>
      <c r="AC309"/>
      <c r="AD309" s="1" t="s">
        <v>936</v>
      </c>
      <c r="AE309" s="1" t="s">
        <v>936</v>
      </c>
      <c r="AF309" s="2" t="s">
        <v>926</v>
      </c>
      <c r="AG309" s="2" t="s">
        <v>936</v>
      </c>
      <c r="AH309" s="2" t="s">
        <v>1017</v>
      </c>
      <c r="AI309" s="2" t="s">
        <v>924</v>
      </c>
      <c r="AJ309"/>
      <c r="AK309"/>
      <c r="AL309"/>
      <c r="AM309"/>
      <c r="AN309"/>
      <c r="AO309"/>
      <c r="AP309"/>
      <c r="AQ309"/>
      <c r="AR309"/>
      <c r="AS309"/>
      <c r="AT309"/>
      <c r="AU309" s="2">
        <v>77.2</v>
      </c>
    </row>
    <row r="310" spans="1:47" ht="73.5" thickTop="1" thickBot="1" x14ac:dyDescent="0.4">
      <c r="A310" s="1">
        <v>60</v>
      </c>
      <c r="B310" s="2" t="s">
        <v>1018</v>
      </c>
      <c r="C310" s="2" t="s">
        <v>1019</v>
      </c>
      <c r="D310" s="2" t="s">
        <v>490</v>
      </c>
      <c r="E310" s="29" t="s">
        <v>875</v>
      </c>
      <c r="F310"/>
      <c r="G310"/>
      <c r="H310"/>
      <c r="I310"/>
      <c r="J310"/>
      <c r="K310" s="1">
        <v>2001</v>
      </c>
      <c r="L310" s="1">
        <v>2003</v>
      </c>
      <c r="M310" s="2" t="s">
        <v>1020</v>
      </c>
      <c r="N310" s="2" t="s">
        <v>885</v>
      </c>
      <c r="O310" s="2" t="s">
        <v>1006</v>
      </c>
      <c r="P310" s="2" t="s">
        <v>889</v>
      </c>
      <c r="Q310" s="1" t="s">
        <v>1021</v>
      </c>
      <c r="R310" s="1">
        <v>4.2</v>
      </c>
      <c r="S310"/>
      <c r="T310" s="1">
        <v>3.1</v>
      </c>
      <c r="U310"/>
      <c r="V310" s="1">
        <v>6.3</v>
      </c>
      <c r="W310" s="2">
        <v>30.7</v>
      </c>
      <c r="X310" s="2">
        <v>94</v>
      </c>
      <c r="Y310"/>
      <c r="Z310"/>
      <c r="AA310"/>
      <c r="AB310" s="2" t="s">
        <v>1022</v>
      </c>
      <c r="AC310"/>
      <c r="AD310" s="1" t="s">
        <v>936</v>
      </c>
      <c r="AE310" s="1" t="s">
        <v>936</v>
      </c>
      <c r="AF310" s="2" t="s">
        <v>926</v>
      </c>
      <c r="AG310" s="2" t="s">
        <v>936</v>
      </c>
      <c r="AH310" s="2" t="s">
        <v>998</v>
      </c>
      <c r="AI310" s="2" t="s">
        <v>924</v>
      </c>
      <c r="AJ310"/>
      <c r="AK310"/>
      <c r="AL310"/>
      <c r="AM310" s="1">
        <v>49</v>
      </c>
      <c r="AN310"/>
      <c r="AO310"/>
      <c r="AP310" s="1">
        <v>16</v>
      </c>
      <c r="AQ310"/>
      <c r="AR310"/>
      <c r="AS310"/>
      <c r="AT310"/>
      <c r="AU310" s="2">
        <v>67.34693877551021</v>
      </c>
    </row>
    <row r="311" spans="1:47" ht="145.5" thickTop="1" x14ac:dyDescent="0.35">
      <c r="A311" s="1">
        <v>61</v>
      </c>
      <c r="B311" s="2" t="s">
        <v>1023</v>
      </c>
      <c r="C311" s="2" t="s">
        <v>1024</v>
      </c>
      <c r="D311" s="2" t="s">
        <v>531</v>
      </c>
      <c r="E311" s="2" t="s">
        <v>1025</v>
      </c>
      <c r="F311" s="2" t="s">
        <v>1026</v>
      </c>
      <c r="G311"/>
      <c r="H311" s="2">
        <v>140</v>
      </c>
      <c r="I311" s="2">
        <v>430</v>
      </c>
      <c r="J311" s="2" t="s">
        <v>882</v>
      </c>
      <c r="K311" s="1">
        <v>2019</v>
      </c>
      <c r="L311" s="1">
        <v>2019</v>
      </c>
      <c r="M311" s="2" t="s">
        <v>1027</v>
      </c>
      <c r="N311" s="2" t="s">
        <v>886</v>
      </c>
      <c r="O311" s="2" t="s">
        <v>1028</v>
      </c>
      <c r="P311" s="2" t="s">
        <v>534</v>
      </c>
      <c r="Q311" s="1" t="s">
        <v>93</v>
      </c>
      <c r="R311" s="1">
        <v>4.8</v>
      </c>
      <c r="S311"/>
      <c r="T311" s="1">
        <v>1.8</v>
      </c>
      <c r="U311"/>
      <c r="V311" s="1">
        <v>7.1</v>
      </c>
      <c r="W311"/>
      <c r="X311" s="2">
        <v>64</v>
      </c>
      <c r="Y311"/>
      <c r="Z311"/>
      <c r="AA311"/>
      <c r="AB311" s="2" t="s">
        <v>986</v>
      </c>
      <c r="AC311"/>
      <c r="AD311" s="1" t="s">
        <v>1029</v>
      </c>
      <c r="AE311" s="1" t="s">
        <v>936</v>
      </c>
      <c r="AF311" s="2" t="s">
        <v>1029</v>
      </c>
      <c r="AG311" s="2" t="s">
        <v>936</v>
      </c>
      <c r="AH311" s="2" t="s">
        <v>924</v>
      </c>
      <c r="AI311" s="2" t="s">
        <v>924</v>
      </c>
      <c r="AJ311"/>
      <c r="AK311" s="1">
        <v>6</v>
      </c>
      <c r="AL311"/>
      <c r="AM311" s="1">
        <v>17</v>
      </c>
      <c r="AN311"/>
      <c r="AO311"/>
      <c r="AP311" s="1">
        <v>2.5</v>
      </c>
      <c r="AQ311"/>
      <c r="AR311"/>
      <c r="AS311"/>
      <c r="AT311"/>
      <c r="AU311" s="2">
        <v>85.294117647058826</v>
      </c>
    </row>
    <row r="312" spans="1:47" ht="145" x14ac:dyDescent="0.35">
      <c r="A312" s="1">
        <v>61</v>
      </c>
      <c r="B312" s="2" t="s">
        <v>1023</v>
      </c>
      <c r="C312" s="2" t="s">
        <v>1024</v>
      </c>
      <c r="D312" s="2" t="s">
        <v>531</v>
      </c>
      <c r="E312" s="2" t="s">
        <v>1025</v>
      </c>
      <c r="F312" s="2" t="s">
        <v>1026</v>
      </c>
      <c r="G312"/>
      <c r="H312" s="2">
        <v>140</v>
      </c>
      <c r="I312" s="2">
        <v>430</v>
      </c>
      <c r="J312" s="2" t="s">
        <v>882</v>
      </c>
      <c r="K312" s="1">
        <v>2019</v>
      </c>
      <c r="L312" s="1">
        <v>2019</v>
      </c>
      <c r="M312" s="2" t="s">
        <v>1027</v>
      </c>
      <c r="N312" s="2" t="s">
        <v>886</v>
      </c>
      <c r="O312" s="2" t="s">
        <v>1028</v>
      </c>
      <c r="P312" s="2" t="s">
        <v>534</v>
      </c>
      <c r="Q312" s="1" t="s">
        <v>93</v>
      </c>
      <c r="R312" s="1">
        <v>4.8</v>
      </c>
      <c r="S312"/>
      <c r="T312" s="1">
        <v>1.8</v>
      </c>
      <c r="U312"/>
      <c r="V312" s="1">
        <v>7.1</v>
      </c>
      <c r="W312"/>
      <c r="X312" s="2">
        <v>64</v>
      </c>
      <c r="Y312"/>
      <c r="Z312"/>
      <c r="AA312"/>
      <c r="AB312" s="2" t="s">
        <v>986</v>
      </c>
      <c r="AC312"/>
      <c r="AD312" s="1" t="s">
        <v>1030</v>
      </c>
      <c r="AE312" s="1" t="s">
        <v>940</v>
      </c>
      <c r="AF312" s="2" t="s">
        <v>1029</v>
      </c>
      <c r="AG312" s="2" t="s">
        <v>936</v>
      </c>
      <c r="AH312"/>
      <c r="AI312"/>
      <c r="AJ312"/>
      <c r="AK312"/>
      <c r="AL312"/>
      <c r="AM312" s="1">
        <v>17</v>
      </c>
      <c r="AN312"/>
      <c r="AO312"/>
      <c r="AP312" s="1">
        <v>13.5</v>
      </c>
      <c r="AQ312"/>
      <c r="AR312"/>
      <c r="AS312"/>
      <c r="AT312"/>
      <c r="AU312" s="2">
        <v>20.588235294117649</v>
      </c>
    </row>
    <row r="313" spans="1:47" ht="145" x14ac:dyDescent="0.35">
      <c r="A313" s="1">
        <v>61</v>
      </c>
      <c r="B313" s="2" t="s">
        <v>1023</v>
      </c>
      <c r="C313" s="2" t="s">
        <v>1024</v>
      </c>
      <c r="D313" s="2" t="s">
        <v>531</v>
      </c>
      <c r="E313" s="2" t="s">
        <v>1025</v>
      </c>
      <c r="F313" s="2" t="s">
        <v>1026</v>
      </c>
      <c r="G313"/>
      <c r="H313" s="2">
        <v>140</v>
      </c>
      <c r="I313" s="2">
        <v>430</v>
      </c>
      <c r="J313" s="2" t="s">
        <v>882</v>
      </c>
      <c r="K313" s="1">
        <v>2019</v>
      </c>
      <c r="L313" s="1">
        <v>2019</v>
      </c>
      <c r="M313" s="2" t="s">
        <v>1027</v>
      </c>
      <c r="N313" s="2" t="s">
        <v>886</v>
      </c>
      <c r="O313" s="2" t="s">
        <v>209</v>
      </c>
      <c r="P313" s="2" t="s">
        <v>534</v>
      </c>
      <c r="Q313" s="1" t="s">
        <v>1021</v>
      </c>
      <c r="R313" s="1">
        <v>9.5</v>
      </c>
      <c r="S313"/>
      <c r="T313" s="1">
        <v>1.9</v>
      </c>
      <c r="U313"/>
      <c r="V313" s="1">
        <v>6.8</v>
      </c>
      <c r="W313"/>
      <c r="X313" s="2">
        <v>65</v>
      </c>
      <c r="Y313"/>
      <c r="Z313"/>
      <c r="AA313"/>
      <c r="AB313" s="2" t="s">
        <v>986</v>
      </c>
      <c r="AC313"/>
      <c r="AD313" s="1" t="s">
        <v>1029</v>
      </c>
      <c r="AE313" s="1" t="s">
        <v>936</v>
      </c>
      <c r="AF313" s="2" t="s">
        <v>1029</v>
      </c>
      <c r="AG313" s="2" t="s">
        <v>936</v>
      </c>
      <c r="AH313" s="2" t="s">
        <v>924</v>
      </c>
      <c r="AI313" s="2" t="s">
        <v>924</v>
      </c>
      <c r="AJ313"/>
      <c r="AK313" s="1">
        <v>6</v>
      </c>
      <c r="AL313"/>
      <c r="AM313" s="1">
        <v>26</v>
      </c>
      <c r="AN313"/>
      <c r="AO313"/>
      <c r="AP313" s="1">
        <v>6.5</v>
      </c>
      <c r="AQ313"/>
      <c r="AR313"/>
      <c r="AS313"/>
      <c r="AT313"/>
      <c r="AU313" s="2">
        <v>75</v>
      </c>
    </row>
    <row r="314" spans="1:47" ht="145" x14ac:dyDescent="0.35">
      <c r="A314" s="1">
        <v>61</v>
      </c>
      <c r="B314" s="2" t="s">
        <v>1023</v>
      </c>
      <c r="C314" s="2" t="s">
        <v>1024</v>
      </c>
      <c r="D314" s="2" t="s">
        <v>531</v>
      </c>
      <c r="E314" s="2" t="s">
        <v>1025</v>
      </c>
      <c r="F314" s="2" t="s">
        <v>1026</v>
      </c>
      <c r="G314"/>
      <c r="H314" s="2">
        <v>140</v>
      </c>
      <c r="I314" s="2">
        <v>430</v>
      </c>
      <c r="J314" s="2" t="s">
        <v>882</v>
      </c>
      <c r="K314" s="1">
        <v>2019</v>
      </c>
      <c r="L314" s="1">
        <v>2019</v>
      </c>
      <c r="M314" s="2" t="s">
        <v>1027</v>
      </c>
      <c r="N314" s="2" t="s">
        <v>886</v>
      </c>
      <c r="O314" s="2" t="s">
        <v>209</v>
      </c>
      <c r="P314" s="2" t="s">
        <v>534</v>
      </c>
      <c r="Q314" s="1" t="s">
        <v>1021</v>
      </c>
      <c r="R314" s="1">
        <v>10.5</v>
      </c>
      <c r="S314"/>
      <c r="T314" s="1">
        <v>1.9</v>
      </c>
      <c r="U314"/>
      <c r="V314" s="1">
        <v>6.8</v>
      </c>
      <c r="W314"/>
      <c r="X314" s="2">
        <v>65</v>
      </c>
      <c r="Y314"/>
      <c r="Z314"/>
      <c r="AA314"/>
      <c r="AB314" s="2" t="s">
        <v>986</v>
      </c>
      <c r="AC314"/>
      <c r="AD314" s="1" t="s">
        <v>1030</v>
      </c>
      <c r="AE314" s="1" t="s">
        <v>940</v>
      </c>
      <c r="AF314" s="2" t="s">
        <v>1029</v>
      </c>
      <c r="AG314" s="2" t="s">
        <v>936</v>
      </c>
      <c r="AH314"/>
      <c r="AI314"/>
      <c r="AJ314"/>
      <c r="AK314"/>
      <c r="AL314"/>
      <c r="AM314" s="1">
        <v>26</v>
      </c>
      <c r="AN314"/>
      <c r="AO314"/>
      <c r="AP314" s="1">
        <v>18</v>
      </c>
      <c r="AQ314"/>
      <c r="AR314"/>
      <c r="AS314"/>
      <c r="AT314"/>
      <c r="AU314" s="2">
        <v>30.76923076923077</v>
      </c>
    </row>
    <row r="315" spans="1:47" ht="145" x14ac:dyDescent="0.35">
      <c r="A315" s="1">
        <v>61</v>
      </c>
      <c r="B315" s="2" t="s">
        <v>1023</v>
      </c>
      <c r="C315" s="2" t="s">
        <v>1024</v>
      </c>
      <c r="D315" s="2" t="s">
        <v>531</v>
      </c>
      <c r="E315" s="2" t="s">
        <v>1025</v>
      </c>
      <c r="F315" s="2" t="s">
        <v>1026</v>
      </c>
      <c r="G315"/>
      <c r="H315" s="2">
        <v>140</v>
      </c>
      <c r="I315" s="2">
        <v>430</v>
      </c>
      <c r="J315" s="2" t="s">
        <v>882</v>
      </c>
      <c r="K315" s="1">
        <v>2019</v>
      </c>
      <c r="L315" s="1">
        <v>2019</v>
      </c>
      <c r="M315" s="2" t="s">
        <v>1027</v>
      </c>
      <c r="N315" s="2" t="s">
        <v>886</v>
      </c>
      <c r="O315" s="2" t="s">
        <v>494</v>
      </c>
      <c r="P315" s="2" t="s">
        <v>534</v>
      </c>
      <c r="Q315" s="1" t="s">
        <v>93</v>
      </c>
      <c r="R315" s="1">
        <v>3.9</v>
      </c>
      <c r="S315"/>
      <c r="T315" s="1">
        <v>3.2</v>
      </c>
      <c r="U315"/>
      <c r="V315" s="1">
        <v>7.6</v>
      </c>
      <c r="W315"/>
      <c r="X315" s="2">
        <v>56</v>
      </c>
      <c r="Y315"/>
      <c r="Z315"/>
      <c r="AA315"/>
      <c r="AB315" s="2" t="s">
        <v>986</v>
      </c>
      <c r="AC315"/>
      <c r="AD315" s="1" t="s">
        <v>1029</v>
      </c>
      <c r="AE315" s="1" t="s">
        <v>936</v>
      </c>
      <c r="AF315" s="2" t="s">
        <v>1029</v>
      </c>
      <c r="AG315" s="2" t="s">
        <v>936</v>
      </c>
      <c r="AH315" s="2" t="s">
        <v>924</v>
      </c>
      <c r="AI315" s="2" t="s">
        <v>924</v>
      </c>
      <c r="AJ315"/>
      <c r="AK315" s="1">
        <v>6.7</v>
      </c>
      <c r="AL315"/>
      <c r="AM315" s="1">
        <v>17.8</v>
      </c>
      <c r="AN315"/>
      <c r="AO315"/>
      <c r="AP315" s="1">
        <v>2.8</v>
      </c>
      <c r="AQ315"/>
      <c r="AR315"/>
      <c r="AS315"/>
      <c r="AT315"/>
      <c r="AU315" s="2">
        <v>84.269662921348313</v>
      </c>
    </row>
    <row r="316" spans="1:47" ht="145" x14ac:dyDescent="0.35">
      <c r="A316" s="1">
        <v>61</v>
      </c>
      <c r="B316" s="2" t="s">
        <v>1023</v>
      </c>
      <c r="C316" s="2" t="s">
        <v>1024</v>
      </c>
      <c r="D316" s="2" t="s">
        <v>531</v>
      </c>
      <c r="E316" s="2" t="s">
        <v>1025</v>
      </c>
      <c r="F316" s="2" t="s">
        <v>1026</v>
      </c>
      <c r="G316"/>
      <c r="H316" s="2">
        <v>140</v>
      </c>
      <c r="I316" s="2">
        <v>430</v>
      </c>
      <c r="J316" s="2" t="s">
        <v>882</v>
      </c>
      <c r="K316" s="1">
        <v>2019</v>
      </c>
      <c r="L316" s="1">
        <v>2019</v>
      </c>
      <c r="M316" s="2" t="s">
        <v>1027</v>
      </c>
      <c r="N316" s="2" t="s">
        <v>886</v>
      </c>
      <c r="O316" s="2" t="s">
        <v>494</v>
      </c>
      <c r="P316" s="2" t="s">
        <v>534</v>
      </c>
      <c r="Q316" s="1" t="s">
        <v>93</v>
      </c>
      <c r="R316" s="1">
        <v>3.9</v>
      </c>
      <c r="S316"/>
      <c r="T316" s="1">
        <v>3.2</v>
      </c>
      <c r="U316"/>
      <c r="V316" s="1">
        <v>7.6</v>
      </c>
      <c r="W316"/>
      <c r="X316" s="2">
        <v>56</v>
      </c>
      <c r="Y316"/>
      <c r="Z316"/>
      <c r="AA316"/>
      <c r="AB316" s="2" t="s">
        <v>986</v>
      </c>
      <c r="AC316"/>
      <c r="AD316" s="1" t="s">
        <v>1030</v>
      </c>
      <c r="AE316" s="1" t="s">
        <v>940</v>
      </c>
      <c r="AF316" s="2" t="s">
        <v>1029</v>
      </c>
      <c r="AG316" s="2" t="s">
        <v>936</v>
      </c>
      <c r="AH316"/>
      <c r="AI316"/>
      <c r="AJ316"/>
      <c r="AK316"/>
      <c r="AL316"/>
      <c r="AM316" s="1">
        <v>17.8</v>
      </c>
      <c r="AN316"/>
      <c r="AO316"/>
      <c r="AP316" s="1">
        <v>16</v>
      </c>
      <c r="AQ316"/>
      <c r="AR316"/>
      <c r="AS316"/>
      <c r="AT316"/>
      <c r="AU316" s="2">
        <v>10.1123595505618</v>
      </c>
    </row>
    <row r="317" spans="1:47" ht="145" x14ac:dyDescent="0.35">
      <c r="A317" s="1">
        <v>61</v>
      </c>
      <c r="B317" s="2" t="s">
        <v>1023</v>
      </c>
      <c r="C317" s="2" t="s">
        <v>1024</v>
      </c>
      <c r="D317" s="2" t="s">
        <v>531</v>
      </c>
      <c r="E317" s="2" t="s">
        <v>1025</v>
      </c>
      <c r="F317" s="2" t="s">
        <v>1026</v>
      </c>
      <c r="G317"/>
      <c r="H317" s="2">
        <v>140</v>
      </c>
      <c r="I317" s="2">
        <v>430</v>
      </c>
      <c r="J317" s="2" t="s">
        <v>882</v>
      </c>
      <c r="K317" s="1">
        <v>2019</v>
      </c>
      <c r="L317" s="1">
        <v>2019</v>
      </c>
      <c r="M317" s="2" t="s">
        <v>1027</v>
      </c>
      <c r="N317" s="2" t="s">
        <v>886</v>
      </c>
      <c r="O317" s="2" t="s">
        <v>352</v>
      </c>
      <c r="P317" s="2" t="s">
        <v>534</v>
      </c>
      <c r="Q317" s="1" t="s">
        <v>93</v>
      </c>
      <c r="R317" s="1">
        <v>4.5999999999999996</v>
      </c>
      <c r="S317"/>
      <c r="T317" s="1">
        <v>2</v>
      </c>
      <c r="U317"/>
      <c r="V317" s="1">
        <v>7.1</v>
      </c>
      <c r="W317"/>
      <c r="X317" s="2">
        <v>71</v>
      </c>
      <c r="Y317"/>
      <c r="Z317"/>
      <c r="AA317"/>
      <c r="AB317" s="2" t="s">
        <v>986</v>
      </c>
      <c r="AC317"/>
      <c r="AD317" s="1" t="s">
        <v>1029</v>
      </c>
      <c r="AE317" s="1" t="s">
        <v>936</v>
      </c>
      <c r="AF317" s="2" t="s">
        <v>1029</v>
      </c>
      <c r="AG317" s="2" t="s">
        <v>936</v>
      </c>
      <c r="AH317" s="2" t="s">
        <v>1031</v>
      </c>
      <c r="AI317" s="2" t="s">
        <v>1031</v>
      </c>
      <c r="AJ317"/>
      <c r="AK317"/>
      <c r="AL317"/>
      <c r="AM317" s="1">
        <v>29</v>
      </c>
      <c r="AN317"/>
      <c r="AO317"/>
      <c r="AP317" s="1">
        <v>32.200000000000003</v>
      </c>
      <c r="AQ317"/>
      <c r="AR317"/>
      <c r="AS317"/>
      <c r="AT317"/>
      <c r="AU317" s="2">
        <v>-11.034482758620699</v>
      </c>
    </row>
    <row r="318" spans="1:47" ht="145" x14ac:dyDescent="0.35">
      <c r="A318" s="1">
        <v>61</v>
      </c>
      <c r="B318" s="2" t="s">
        <v>1023</v>
      </c>
      <c r="C318" s="2" t="s">
        <v>1024</v>
      </c>
      <c r="D318" s="2" t="s">
        <v>531</v>
      </c>
      <c r="E318" s="2" t="s">
        <v>1025</v>
      </c>
      <c r="F318" s="2" t="s">
        <v>1026</v>
      </c>
      <c r="G318"/>
      <c r="H318" s="2">
        <v>140</v>
      </c>
      <c r="I318" s="2">
        <v>430</v>
      </c>
      <c r="J318" s="2" t="s">
        <v>882</v>
      </c>
      <c r="K318" s="1">
        <v>2019</v>
      </c>
      <c r="L318" s="1">
        <v>2019</v>
      </c>
      <c r="M318" s="2" t="s">
        <v>1027</v>
      </c>
      <c r="N318" s="2" t="s">
        <v>886</v>
      </c>
      <c r="O318" s="2" t="s">
        <v>352</v>
      </c>
      <c r="P318" s="2" t="s">
        <v>534</v>
      </c>
      <c r="Q318" s="1" t="s">
        <v>93</v>
      </c>
      <c r="R318" s="1">
        <v>4.4000000000000004</v>
      </c>
      <c r="S318"/>
      <c r="T318" s="1">
        <v>3.4</v>
      </c>
      <c r="U318"/>
      <c r="V318" s="1">
        <v>7.8</v>
      </c>
      <c r="W318"/>
      <c r="X318" s="2">
        <v>60</v>
      </c>
      <c r="Y318"/>
      <c r="Z318"/>
      <c r="AA318"/>
      <c r="AB318" s="2" t="s">
        <v>986</v>
      </c>
      <c r="AC318"/>
      <c r="AD318" s="1" t="s">
        <v>1029</v>
      </c>
      <c r="AE318" s="1" t="s">
        <v>936</v>
      </c>
      <c r="AF318" s="2" t="s">
        <v>1029</v>
      </c>
      <c r="AG318" s="2" t="s">
        <v>936</v>
      </c>
      <c r="AH318" s="2" t="s">
        <v>539</v>
      </c>
      <c r="AI318" s="2" t="s">
        <v>954</v>
      </c>
      <c r="AJ318"/>
      <c r="AK318"/>
      <c r="AL318"/>
      <c r="AM318" s="1">
        <v>29</v>
      </c>
      <c r="AN318"/>
      <c r="AO318"/>
      <c r="AP318" s="1">
        <v>23.5</v>
      </c>
      <c r="AQ318"/>
      <c r="AR318"/>
      <c r="AS318"/>
      <c r="AT318"/>
      <c r="AU318" s="2">
        <v>18.96551724137931</v>
      </c>
    </row>
    <row r="319" spans="1:47" ht="145" x14ac:dyDescent="0.35">
      <c r="A319" s="1">
        <v>61</v>
      </c>
      <c r="B319" s="2" t="s">
        <v>1023</v>
      </c>
      <c r="C319" s="2" t="s">
        <v>1024</v>
      </c>
      <c r="D319" s="2" t="s">
        <v>531</v>
      </c>
      <c r="E319" s="2" t="s">
        <v>1025</v>
      </c>
      <c r="F319" s="2" t="s">
        <v>1026</v>
      </c>
      <c r="G319"/>
      <c r="H319" s="2">
        <v>140</v>
      </c>
      <c r="I319" s="2">
        <v>430</v>
      </c>
      <c r="J319" s="2" t="s">
        <v>882</v>
      </c>
      <c r="K319" s="1">
        <v>2019</v>
      </c>
      <c r="L319" s="1">
        <v>2019</v>
      </c>
      <c r="M319" s="2" t="s">
        <v>1032</v>
      </c>
      <c r="N319" s="2" t="s">
        <v>885</v>
      </c>
      <c r="O319" s="2" t="s">
        <v>1033</v>
      </c>
      <c r="P319" s="2" t="s">
        <v>534</v>
      </c>
      <c r="Q319" s="1" t="s">
        <v>93</v>
      </c>
      <c r="R319" s="1">
        <v>4.5</v>
      </c>
      <c r="S319"/>
      <c r="T319" s="1">
        <v>2</v>
      </c>
      <c r="U319"/>
      <c r="V319" s="1">
        <v>7.1</v>
      </c>
      <c r="W319"/>
      <c r="X319" s="2">
        <v>72</v>
      </c>
      <c r="Y319"/>
      <c r="Z319"/>
      <c r="AA319"/>
      <c r="AB319" s="2" t="s">
        <v>986</v>
      </c>
      <c r="AC319"/>
      <c r="AD319" s="1" t="s">
        <v>933</v>
      </c>
      <c r="AE319" s="1" t="s">
        <v>1035</v>
      </c>
      <c r="AF319" s="2" t="s">
        <v>1029</v>
      </c>
      <c r="AG319" s="2" t="s">
        <v>936</v>
      </c>
      <c r="AH319"/>
      <c r="AI319"/>
      <c r="AJ319"/>
      <c r="AK319"/>
      <c r="AL319"/>
      <c r="AM319" s="1">
        <v>22.8</v>
      </c>
      <c r="AN319"/>
      <c r="AO319"/>
      <c r="AP319" s="1">
        <v>22.2</v>
      </c>
      <c r="AQ319"/>
      <c r="AR319"/>
      <c r="AS319"/>
      <c r="AT319"/>
      <c r="AU319" s="2">
        <v>2.631578947368427</v>
      </c>
    </row>
    <row r="320" spans="1:47" ht="145" x14ac:dyDescent="0.35">
      <c r="A320" s="1">
        <v>61</v>
      </c>
      <c r="B320" s="2" t="s">
        <v>1023</v>
      </c>
      <c r="C320" s="2" t="s">
        <v>1024</v>
      </c>
      <c r="D320" s="2" t="s">
        <v>531</v>
      </c>
      <c r="E320" s="2" t="s">
        <v>1025</v>
      </c>
      <c r="F320" s="2" t="s">
        <v>1026</v>
      </c>
      <c r="G320"/>
      <c r="H320" s="2">
        <v>140</v>
      </c>
      <c r="I320" s="2">
        <v>430</v>
      </c>
      <c r="J320" s="2" t="s">
        <v>882</v>
      </c>
      <c r="K320" s="1">
        <v>2019</v>
      </c>
      <c r="L320" s="1">
        <v>2019</v>
      </c>
      <c r="M320" s="2" t="s">
        <v>1032</v>
      </c>
      <c r="N320" s="2" t="s">
        <v>885</v>
      </c>
      <c r="O320" s="2" t="s">
        <v>1033</v>
      </c>
      <c r="P320" s="2" t="s">
        <v>534</v>
      </c>
      <c r="Q320" s="1" t="s">
        <v>93</v>
      </c>
      <c r="R320" s="1">
        <v>4.5</v>
      </c>
      <c r="S320"/>
      <c r="T320" s="1">
        <v>2</v>
      </c>
      <c r="U320"/>
      <c r="V320" s="1">
        <v>7.1</v>
      </c>
      <c r="W320"/>
      <c r="X320" s="2">
        <v>72</v>
      </c>
      <c r="Y320"/>
      <c r="Z320"/>
      <c r="AA320"/>
      <c r="AB320" s="2" t="s">
        <v>986</v>
      </c>
      <c r="AC320"/>
      <c r="AD320" s="1" t="s">
        <v>933</v>
      </c>
      <c r="AE320" s="1" t="s">
        <v>1035</v>
      </c>
      <c r="AF320" s="2" t="s">
        <v>1029</v>
      </c>
      <c r="AG320" s="2" t="s">
        <v>936</v>
      </c>
      <c r="AH320"/>
      <c r="AI320"/>
      <c r="AJ320"/>
      <c r="AK320"/>
      <c r="AL320"/>
      <c r="AM320" s="1">
        <v>22.8</v>
      </c>
      <c r="AN320"/>
      <c r="AO320"/>
      <c r="AP320" s="1">
        <v>14.6</v>
      </c>
      <c r="AQ320"/>
      <c r="AR320"/>
      <c r="AS320"/>
      <c r="AT320"/>
      <c r="AU320" s="2">
        <v>35.96491228070176</v>
      </c>
    </row>
    <row r="321" spans="1:51" ht="72.5" x14ac:dyDescent="0.35">
      <c r="A321" s="1">
        <v>62</v>
      </c>
      <c r="B321" s="2" t="s">
        <v>1037</v>
      </c>
      <c r="C321" s="2" t="s">
        <v>1040</v>
      </c>
      <c r="D321" s="2" t="s">
        <v>1041</v>
      </c>
      <c r="P321" s="2" t="s">
        <v>534</v>
      </c>
      <c r="Q321" s="1" t="s">
        <v>93</v>
      </c>
      <c r="AE321" s="1" t="s">
        <v>917</v>
      </c>
      <c r="AG321" s="2" t="s">
        <v>966</v>
      </c>
      <c r="AM321" s="1">
        <v>37.5</v>
      </c>
      <c r="AP321" s="1">
        <v>24.6</v>
      </c>
      <c r="AU321" s="2">
        <v>34.4</v>
      </c>
    </row>
    <row r="322" spans="1:51" ht="72.5" x14ac:dyDescent="0.35">
      <c r="A322" s="1">
        <v>62</v>
      </c>
      <c r="B322" s="2" t="s">
        <v>1037</v>
      </c>
      <c r="C322" s="2" t="s">
        <v>1042</v>
      </c>
      <c r="D322" s="2" t="s">
        <v>1041</v>
      </c>
      <c r="P322" s="2" t="s">
        <v>534</v>
      </c>
      <c r="Q322" s="1" t="s">
        <v>93</v>
      </c>
      <c r="AE322" s="1" t="s">
        <v>917</v>
      </c>
      <c r="AG322" s="2" t="s">
        <v>966</v>
      </c>
      <c r="AM322" s="1">
        <v>39.200000000000003</v>
      </c>
      <c r="AP322" s="1">
        <v>14.9</v>
      </c>
      <c r="AU322" s="2">
        <v>61.989795918367349</v>
      </c>
    </row>
    <row r="323" spans="1:51" ht="72.5" x14ac:dyDescent="0.35">
      <c r="A323" s="1">
        <v>62</v>
      </c>
      <c r="B323" s="2" t="s">
        <v>1037</v>
      </c>
      <c r="C323" s="2" t="s">
        <v>1043</v>
      </c>
      <c r="D323" s="2" t="s">
        <v>1041</v>
      </c>
      <c r="P323" s="2" t="s">
        <v>534</v>
      </c>
      <c r="Q323" s="1" t="s">
        <v>93</v>
      </c>
      <c r="AE323" s="1" t="s">
        <v>917</v>
      </c>
      <c r="AG323" s="2" t="s">
        <v>966</v>
      </c>
      <c r="AM323" s="1">
        <v>39.299999999999997</v>
      </c>
      <c r="AP323" s="1">
        <v>24.1</v>
      </c>
      <c r="AU323" s="2">
        <v>38.676844783715005</v>
      </c>
    </row>
    <row r="324" spans="1:51" ht="72.5" x14ac:dyDescent="0.35">
      <c r="A324" s="1">
        <v>62</v>
      </c>
      <c r="B324" s="2" t="s">
        <v>1037</v>
      </c>
      <c r="C324" s="2" t="s">
        <v>1044</v>
      </c>
      <c r="D324" s="2" t="s">
        <v>1041</v>
      </c>
      <c r="P324" s="2" t="s">
        <v>534</v>
      </c>
      <c r="Q324" s="1" t="s">
        <v>93</v>
      </c>
      <c r="AE324" s="1" t="s">
        <v>917</v>
      </c>
      <c r="AG324" s="2" t="s">
        <v>966</v>
      </c>
      <c r="AM324" s="1">
        <v>38</v>
      </c>
      <c r="AP324" s="1">
        <v>17.899999999999999</v>
      </c>
      <c r="AU324" s="2">
        <v>52.89473684210526</v>
      </c>
    </row>
    <row r="325" spans="1:51" ht="72.5" x14ac:dyDescent="0.35">
      <c r="A325" s="1">
        <v>62</v>
      </c>
      <c r="B325" s="2" t="s">
        <v>1037</v>
      </c>
      <c r="C325" s="2" t="s">
        <v>1045</v>
      </c>
      <c r="D325" s="2" t="s">
        <v>1041</v>
      </c>
      <c r="P325" s="2" t="s">
        <v>534</v>
      </c>
      <c r="Q325" s="1" t="s">
        <v>93</v>
      </c>
      <c r="AE325" s="1" t="s">
        <v>917</v>
      </c>
      <c r="AG325" s="2" t="s">
        <v>966</v>
      </c>
      <c r="AM325" s="1">
        <v>36.700000000000003</v>
      </c>
      <c r="AP325" s="1">
        <v>25.1</v>
      </c>
      <c r="AU325" s="2">
        <v>31.607629427792915</v>
      </c>
    </row>
    <row r="326" spans="1:51" ht="72.5" x14ac:dyDescent="0.35">
      <c r="A326" s="1">
        <v>62</v>
      </c>
      <c r="B326" s="2" t="s">
        <v>1037</v>
      </c>
      <c r="C326" s="2" t="s">
        <v>1046</v>
      </c>
      <c r="D326" s="2" t="s">
        <v>1041</v>
      </c>
      <c r="P326" s="2" t="s">
        <v>534</v>
      </c>
      <c r="Q326" s="1" t="s">
        <v>93</v>
      </c>
      <c r="AE326" s="1" t="s">
        <v>917</v>
      </c>
      <c r="AG326" s="2" t="s">
        <v>966</v>
      </c>
      <c r="AM326" s="1">
        <v>51</v>
      </c>
      <c r="AP326" s="1">
        <v>28.2</v>
      </c>
      <c r="AU326" s="2">
        <v>44.705882352941174</v>
      </c>
    </row>
    <row r="327" spans="1:51" ht="72.5" x14ac:dyDescent="0.35">
      <c r="A327" s="1">
        <v>62</v>
      </c>
      <c r="B327" s="2" t="s">
        <v>1037</v>
      </c>
      <c r="C327" s="2" t="s">
        <v>1047</v>
      </c>
      <c r="D327" s="2" t="s">
        <v>1041</v>
      </c>
      <c r="P327" s="2" t="s">
        <v>534</v>
      </c>
      <c r="Q327" s="1" t="s">
        <v>93</v>
      </c>
      <c r="AE327" s="1" t="s">
        <v>917</v>
      </c>
      <c r="AG327" s="2" t="s">
        <v>966</v>
      </c>
      <c r="AM327" s="1">
        <v>37.4</v>
      </c>
      <c r="AP327" s="1">
        <v>23.5</v>
      </c>
      <c r="AU327" s="2">
        <v>37.16577540106951</v>
      </c>
    </row>
    <row r="328" spans="1:51" ht="72.5" x14ac:dyDescent="0.35">
      <c r="A328" s="1">
        <v>62</v>
      </c>
      <c r="B328" s="2" t="s">
        <v>1037</v>
      </c>
      <c r="C328" s="2" t="s">
        <v>1048</v>
      </c>
      <c r="D328" s="2" t="s">
        <v>1041</v>
      </c>
      <c r="P328" s="2" t="s">
        <v>534</v>
      </c>
      <c r="Q328" s="1" t="s">
        <v>93</v>
      </c>
      <c r="AE328" s="1" t="s">
        <v>917</v>
      </c>
      <c r="AG328" s="2" t="s">
        <v>966</v>
      </c>
      <c r="AM328" s="1">
        <v>39.1</v>
      </c>
      <c r="AP328" s="1">
        <v>28.6</v>
      </c>
      <c r="AU328" s="2">
        <v>26.854219948849099</v>
      </c>
    </row>
    <row r="329" spans="1:51" ht="72.5" x14ac:dyDescent="0.35">
      <c r="A329" s="1">
        <v>62</v>
      </c>
      <c r="B329" s="2" t="s">
        <v>1037</v>
      </c>
      <c r="C329" s="2" t="s">
        <v>1049</v>
      </c>
      <c r="D329" s="2" t="s">
        <v>1041</v>
      </c>
      <c r="P329" s="2" t="s">
        <v>534</v>
      </c>
      <c r="Q329" s="1" t="s">
        <v>93</v>
      </c>
      <c r="AE329" s="1" t="s">
        <v>917</v>
      </c>
      <c r="AG329" s="2" t="s">
        <v>966</v>
      </c>
      <c r="AM329" s="1">
        <v>39.1</v>
      </c>
      <c r="AP329" s="1">
        <v>25.4</v>
      </c>
      <c r="AU329" s="2">
        <v>35.038363171355499</v>
      </c>
    </row>
    <row r="330" spans="1:51" ht="72.5" x14ac:dyDescent="0.35">
      <c r="A330" s="1">
        <v>62</v>
      </c>
      <c r="B330" s="2" t="s">
        <v>1037</v>
      </c>
      <c r="C330" s="2" t="s">
        <v>1050</v>
      </c>
      <c r="D330" s="2" t="s">
        <v>1041</v>
      </c>
      <c r="P330" s="2" t="s">
        <v>534</v>
      </c>
      <c r="Q330" s="1" t="s">
        <v>93</v>
      </c>
      <c r="AE330" s="1" t="s">
        <v>917</v>
      </c>
      <c r="AG330" s="2" t="s">
        <v>966</v>
      </c>
      <c r="AM330" s="1">
        <v>16.3</v>
      </c>
      <c r="AP330" s="1">
        <v>10</v>
      </c>
      <c r="AU330" s="2">
        <v>38.650306748466257</v>
      </c>
    </row>
    <row r="331" spans="1:51" ht="72.5" x14ac:dyDescent="0.35">
      <c r="A331" s="1">
        <v>62</v>
      </c>
      <c r="B331" s="2" t="s">
        <v>1037</v>
      </c>
      <c r="C331" s="2" t="s">
        <v>1051</v>
      </c>
      <c r="D331" s="2" t="s">
        <v>1041</v>
      </c>
      <c r="P331" s="2" t="s">
        <v>534</v>
      </c>
      <c r="Q331" s="1" t="s">
        <v>93</v>
      </c>
      <c r="AE331" s="1" t="s">
        <v>917</v>
      </c>
      <c r="AG331" s="2" t="s">
        <v>966</v>
      </c>
      <c r="AM331" s="1">
        <v>41.9</v>
      </c>
      <c r="AP331" s="1">
        <v>14.7</v>
      </c>
      <c r="AU331" s="2">
        <v>64.916467780429585</v>
      </c>
    </row>
    <row r="332" spans="1:51" ht="72.5" x14ac:dyDescent="0.35">
      <c r="A332" s="1">
        <v>62</v>
      </c>
      <c r="B332" s="2" t="s">
        <v>1037</v>
      </c>
      <c r="C332" s="2" t="s">
        <v>1052</v>
      </c>
      <c r="D332" s="2" t="s">
        <v>1041</v>
      </c>
      <c r="P332" s="2" t="s">
        <v>534</v>
      </c>
      <c r="Q332" s="1" t="s">
        <v>93</v>
      </c>
      <c r="AE332" s="1" t="s">
        <v>917</v>
      </c>
      <c r="AG332" s="2" t="s">
        <v>966</v>
      </c>
      <c r="AM332" s="1">
        <v>13.4</v>
      </c>
      <c r="AP332" s="1">
        <v>4.3</v>
      </c>
      <c r="AU332" s="2">
        <v>67.910447761194035</v>
      </c>
    </row>
    <row r="333" spans="1:51" ht="72.5" x14ac:dyDescent="0.35">
      <c r="A333" s="1">
        <v>63</v>
      </c>
      <c r="B333" s="2" t="s">
        <v>1038</v>
      </c>
      <c r="C333" s="2" t="s">
        <v>1039</v>
      </c>
      <c r="D333" s="2" t="s">
        <v>1041</v>
      </c>
      <c r="AE333" s="1" t="s">
        <v>917</v>
      </c>
      <c r="AG333" s="2" t="s">
        <v>966</v>
      </c>
      <c r="AM333" s="1">
        <v>45.1</v>
      </c>
      <c r="AP333" s="1">
        <v>19.3</v>
      </c>
      <c r="AU333" s="2">
        <v>57.206208425720618</v>
      </c>
      <c r="AY333" s="1" t="s">
        <v>1053</v>
      </c>
    </row>
    <row r="334" spans="1:51" ht="72.5" x14ac:dyDescent="0.35">
      <c r="A334" s="1">
        <v>63</v>
      </c>
      <c r="B334" s="2" t="s">
        <v>1038</v>
      </c>
      <c r="C334" s="2" t="s">
        <v>1039</v>
      </c>
      <c r="D334" s="2" t="s">
        <v>1041</v>
      </c>
      <c r="AM334" s="1">
        <v>24.1</v>
      </c>
      <c r="AP334" s="1">
        <v>14.8</v>
      </c>
      <c r="AU334" s="2">
        <v>38.589211618257259</v>
      </c>
      <c r="AY334" s="1" t="s">
        <v>1053</v>
      </c>
    </row>
    <row r="335" spans="1:51" ht="72.5" x14ac:dyDescent="0.35">
      <c r="A335" s="1">
        <v>63</v>
      </c>
      <c r="B335" s="2" t="s">
        <v>1038</v>
      </c>
      <c r="C335" s="2" t="s">
        <v>1039</v>
      </c>
      <c r="D335" s="2" t="s">
        <v>1041</v>
      </c>
      <c r="AM335" s="1">
        <v>37.799999999999997</v>
      </c>
      <c r="AP335" s="1">
        <v>21.5</v>
      </c>
      <c r="AU335" s="2">
        <v>43.121693121693113</v>
      </c>
      <c r="AY335" s="1" t="s">
        <v>1053</v>
      </c>
    </row>
    <row r="336" spans="1:51" ht="72.5" x14ac:dyDescent="0.35">
      <c r="A336" s="1">
        <v>63</v>
      </c>
      <c r="B336" s="2" t="s">
        <v>1038</v>
      </c>
      <c r="C336" s="2" t="s">
        <v>1039</v>
      </c>
      <c r="D336" s="2" t="s">
        <v>1041</v>
      </c>
      <c r="AM336" s="1">
        <v>21.2</v>
      </c>
      <c r="AP336" s="1">
        <v>14</v>
      </c>
      <c r="AU336" s="2">
        <v>33.96226415094339</v>
      </c>
      <c r="AY336" s="1" t="s">
        <v>1053</v>
      </c>
    </row>
  </sheetData>
  <autoFilter ref="A1:AY321" xr:uid="{9D35D03E-84A5-4E70-9EFA-07826CEBC622}"/>
  <phoneticPr fontId="7" type="noConversion"/>
  <pageMargins left="0.7" right="0.7" top="0.75" bottom="0.75" header="0.3" footer="0.3"/>
  <headerFooter>
    <oddHeader>&amp;R&amp;"Calibri"&amp;10&amp;K000000 Unclassified / Non classifié&amp;1#_x000D_</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 explanation</vt:lpstr>
      <vt:lpstr>Database to use</vt:lpstr>
    </vt:vector>
  </TitlesOfParts>
  <Company>AAFC-AAC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Pelster, David (AAFC/AAC)</dc:creator>
  <cp:lastModifiedBy>Johanna Pedersen</cp:lastModifiedBy>
  <dcterms:created xsi:type="dcterms:W3CDTF">2024-07-17T16:19:38Z</dcterms:created>
  <dcterms:modified xsi:type="dcterms:W3CDTF">2025-01-27T21:13:50Z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ad8967-3ba6-4b00-a759-20a8ca19a393_Enabled">
    <vt:lpwstr>true</vt:lpwstr>
  </property>
  <property fmtid="{D5CDD505-2E9C-101B-9397-08002B2CF9AE}" pid="3" name="MSIP_Label_baad8967-3ba6-4b00-a759-20a8ca19a393_SetDate">
    <vt:lpwstr>2024-07-17T16:43:01Z</vt:lpwstr>
  </property>
  <property fmtid="{D5CDD505-2E9C-101B-9397-08002B2CF9AE}" pid="4" name="MSIP_Label_baad8967-3ba6-4b00-a759-20a8ca19a393_Method">
    <vt:lpwstr>Privileged</vt:lpwstr>
  </property>
  <property fmtid="{D5CDD505-2E9C-101B-9397-08002B2CF9AE}" pid="5" name="MSIP_Label_baad8967-3ba6-4b00-a759-20a8ca19a393_Name">
    <vt:lpwstr>UNCLASSIFIED</vt:lpwstr>
  </property>
  <property fmtid="{D5CDD505-2E9C-101B-9397-08002B2CF9AE}" pid="6" name="MSIP_Label_baad8967-3ba6-4b00-a759-20a8ca19a393_SiteId">
    <vt:lpwstr>9da98bb1-1857-4cc3-8751-9a49e35d24cd</vt:lpwstr>
  </property>
  <property fmtid="{D5CDD505-2E9C-101B-9397-08002B2CF9AE}" pid="7" name="MSIP_Label_baad8967-3ba6-4b00-a759-20a8ca19a393_ActionId">
    <vt:lpwstr>2aebe8eb-7da9-4d0a-9351-312d6b2aa79c</vt:lpwstr>
  </property>
  <property fmtid="{D5CDD505-2E9C-101B-9397-08002B2CF9AE}" pid="8" name="MSIP_Label_baad8967-3ba6-4b00-a759-20a8ca19a393_ContentBits">
    <vt:lpwstr>1</vt:lpwstr>
  </property>
</Properties>
</file>