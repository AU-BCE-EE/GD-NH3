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reductions/data/"/>
    </mc:Choice>
  </mc:AlternateContent>
  <xr:revisionPtr revIDLastSave="137" documentId="8_{5E20B5B0-32C7-431D-8683-E50ABE62E15A}" xr6:coauthVersionLast="47" xr6:coauthVersionMax="47" xr10:uidLastSave="{0FB600B0-F8B8-480D-890A-DB8F720901AF}"/>
  <bookViews>
    <workbookView xWindow="1485" yWindow="2580" windowWidth="21600" windowHeight="10935" activeTab="1" xr2:uid="{7C63DCD4-7913-4208-A171-6214FA8E3972}"/>
  </bookViews>
  <sheets>
    <sheet name="data" sheetId="1" r:id="rId1"/>
    <sheet name="avg.data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E5" i="3"/>
  <c r="D5" i="3"/>
  <c r="E4" i="3"/>
  <c r="D4" i="3"/>
  <c r="E3" i="3"/>
  <c r="D3" i="3"/>
  <c r="E2" i="3"/>
  <c r="D2" i="3"/>
  <c r="B5" i="3"/>
  <c r="B4" i="3"/>
  <c r="B3" i="3"/>
  <c r="B2" i="3"/>
</calcChain>
</file>

<file path=xl/sharedStrings.xml><?xml version="1.0" encoding="utf-8"?>
<sst xmlns="http://schemas.openxmlformats.org/spreadsheetml/2006/main" count="38" uniqueCount="21">
  <si>
    <t>grass</t>
  </si>
  <si>
    <t>a)       Band spreading slurry at the soil surface using i. trailing hose or ii. trailing shoe applicators;</t>
  </si>
  <si>
    <t>b)       Injecting slurry (shallow, open slot)— slot remains open;</t>
  </si>
  <si>
    <t xml:space="preserve">c)       Injecting slurry (closed slot)— deeper injection so slot can be closed by applicator; </t>
  </si>
  <si>
    <t>d)       Removal of solids from liquid manure (separation) using gravity, filtration, or centrifugation;</t>
  </si>
  <si>
    <t>e)       Application Timing Management System (ATMS) - Timing application to reduce emissions;</t>
  </si>
  <si>
    <t>f)        Lowering slurry pH - adding acids to slurry during spreading;</t>
  </si>
  <si>
    <t xml:space="preserve">g)       Soil incorporation - rapidly tilling in surface-applied solid manure and slurry into soil; </t>
  </si>
  <si>
    <t>Trail hose</t>
  </si>
  <si>
    <t>Slot Injec.</t>
  </si>
  <si>
    <t>Deep Injec</t>
  </si>
  <si>
    <t>Trail shoe</t>
  </si>
  <si>
    <t>Data from the document 'SpreadRev_Summ', appendix to the 2014 version of the GD</t>
  </si>
  <si>
    <t>Category 1 in the 2025 updated document:</t>
  </si>
  <si>
    <t>papers</t>
  </si>
  <si>
    <t>crop</t>
  </si>
  <si>
    <t>app.tech</t>
  </si>
  <si>
    <t>mean.red</t>
  </si>
  <si>
    <t>range.min</t>
  </si>
  <si>
    <t>range.max</t>
  </si>
  <si>
    <t>tillage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</si>
</sst>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7D8F-3E0D-4929-8B69-48EEB4E5B33E}">
  <dimension ref="A1:F1048570"/>
  <sheetViews>
    <sheetView zoomScale="79" zoomScaleNormal="190" workbookViewId="0">
      <selection activeCell="B2" sqref="B2:B8"/>
    </sheetView>
  </sheetViews>
  <sheetFormatPr defaultRowHeight="15" x14ac:dyDescent="0.25"/>
  <cols>
    <col min="1" max="1" width="20.28515625" customWidth="1"/>
    <col min="3" max="3" width="11.7109375" bestFit="1" customWidth="1"/>
    <col min="4" max="4" width="14.85546875" bestFit="1" customWidth="1"/>
    <col min="5" max="5" width="12.42578125" customWidth="1"/>
    <col min="6" max="6" width="14.42578125" customWidth="1"/>
  </cols>
  <sheetData>
    <row r="1" spans="1:6" ht="30" customHeight="1" x14ac:dyDescent="0.25">
      <c r="A1" s="3" t="s">
        <v>16</v>
      </c>
      <c r="B1" s="3" t="s">
        <v>15</v>
      </c>
      <c r="C1" s="3" t="s">
        <v>14</v>
      </c>
      <c r="D1" s="3" t="s">
        <v>17</v>
      </c>
      <c r="E1" s="3" t="s">
        <v>18</v>
      </c>
      <c r="F1" s="3" t="s">
        <v>19</v>
      </c>
    </row>
    <row r="2" spans="1:6" x14ac:dyDescent="0.25">
      <c r="A2" s="3" t="s">
        <v>9</v>
      </c>
      <c r="B2" s="3" t="s">
        <v>0</v>
      </c>
      <c r="C2" s="4">
        <v>5</v>
      </c>
      <c r="D2" s="4">
        <v>80</v>
      </c>
      <c r="E2" s="4">
        <v>60</v>
      </c>
      <c r="F2" s="4">
        <v>99</v>
      </c>
    </row>
    <row r="3" spans="1:6" x14ac:dyDescent="0.25">
      <c r="A3" s="3" t="s">
        <v>9</v>
      </c>
      <c r="B3" s="3" t="s">
        <v>20</v>
      </c>
      <c r="C3" s="4">
        <v>5</v>
      </c>
      <c r="D3" s="4">
        <v>70</v>
      </c>
      <c r="E3" s="4">
        <v>23</v>
      </c>
      <c r="F3" s="4">
        <v>94</v>
      </c>
    </row>
    <row r="4" spans="1:6" x14ac:dyDescent="0.25">
      <c r="A4" s="3" t="s">
        <v>10</v>
      </c>
      <c r="B4" s="3" t="s">
        <v>20</v>
      </c>
      <c r="C4" s="4">
        <v>2</v>
      </c>
      <c r="D4" s="4">
        <v>95</v>
      </c>
      <c r="E4" s="4">
        <v>95</v>
      </c>
      <c r="F4" s="4">
        <v>99</v>
      </c>
    </row>
    <row r="5" spans="1:6" x14ac:dyDescent="0.25">
      <c r="A5" s="3" t="s">
        <v>11</v>
      </c>
      <c r="B5" s="3" t="s">
        <v>0</v>
      </c>
      <c r="C5" s="4">
        <v>2</v>
      </c>
      <c r="D5" s="4">
        <v>64</v>
      </c>
      <c r="E5" s="4">
        <v>57</v>
      </c>
      <c r="F5" s="4">
        <v>70</v>
      </c>
    </row>
    <row r="6" spans="1:6" x14ac:dyDescent="0.25">
      <c r="A6" s="3" t="s">
        <v>11</v>
      </c>
      <c r="B6" s="3" t="s">
        <v>20</v>
      </c>
      <c r="C6" s="4">
        <v>2</v>
      </c>
      <c r="D6" s="4">
        <v>64</v>
      </c>
      <c r="E6" s="4">
        <v>38</v>
      </c>
      <c r="F6" s="4">
        <v>90</v>
      </c>
    </row>
    <row r="7" spans="1:6" x14ac:dyDescent="0.25">
      <c r="A7" s="3" t="s">
        <v>8</v>
      </c>
      <c r="B7" s="3" t="s">
        <v>0</v>
      </c>
      <c r="C7" s="4">
        <v>5</v>
      </c>
      <c r="D7" s="4">
        <v>35</v>
      </c>
      <c r="E7" s="4">
        <v>0</v>
      </c>
      <c r="F7" s="4">
        <v>74</v>
      </c>
    </row>
    <row r="8" spans="1:6" x14ac:dyDescent="0.25">
      <c r="A8" s="3" t="s">
        <v>8</v>
      </c>
      <c r="B8" s="3" t="s">
        <v>20</v>
      </c>
      <c r="C8" s="4">
        <v>7</v>
      </c>
      <c r="D8" s="4">
        <v>37</v>
      </c>
      <c r="E8" s="4">
        <v>0</v>
      </c>
      <c r="F8" s="4">
        <v>75</v>
      </c>
    </row>
    <row r="9" spans="1:6" x14ac:dyDescent="0.25">
      <c r="D9" s="4"/>
    </row>
    <row r="10" spans="1:6" x14ac:dyDescent="0.25">
      <c r="D10" s="4"/>
    </row>
    <row r="11" spans="1:6" x14ac:dyDescent="0.25">
      <c r="D11" s="4"/>
    </row>
    <row r="1048570" spans="1:1" x14ac:dyDescent="0.25">
      <c r="A1048570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1CA5-1FB4-4DAD-BBC1-66FB61386D09}">
  <dimension ref="A1:E1048567"/>
  <sheetViews>
    <sheetView tabSelected="1" zoomScale="79" zoomScaleNormal="190" workbookViewId="0">
      <selection activeCell="H7" sqref="H7"/>
    </sheetView>
  </sheetViews>
  <sheetFormatPr defaultRowHeight="15" x14ac:dyDescent="0.25"/>
  <cols>
    <col min="1" max="1" width="20.28515625" customWidth="1"/>
    <col min="2" max="2" width="11.7109375" bestFit="1" customWidth="1"/>
    <col min="3" max="3" width="14.85546875" bestFit="1" customWidth="1"/>
    <col min="4" max="4" width="12.42578125" customWidth="1"/>
    <col min="5" max="5" width="14.42578125" customWidth="1"/>
  </cols>
  <sheetData>
    <row r="1" spans="1:5" ht="30" customHeight="1" x14ac:dyDescent="0.25">
      <c r="A1" s="3" t="s">
        <v>16</v>
      </c>
      <c r="B1" s="3" t="s">
        <v>14</v>
      </c>
      <c r="C1" s="3" t="s">
        <v>17</v>
      </c>
      <c r="D1" s="3" t="s">
        <v>18</v>
      </c>
      <c r="E1" s="3" t="s">
        <v>19</v>
      </c>
    </row>
    <row r="2" spans="1:5" x14ac:dyDescent="0.25">
      <c r="A2" s="3" t="s">
        <v>9</v>
      </c>
      <c r="B2" s="4">
        <f>data!C2+data!C3</f>
        <v>10</v>
      </c>
      <c r="C2" s="4">
        <f>(data!C2*data!D2+data!C3*data!D3)/(data!C2+data!C3)</f>
        <v>75</v>
      </c>
      <c r="D2" s="4">
        <f>data!E3</f>
        <v>23</v>
      </c>
      <c r="E2" s="4">
        <f>data!F2</f>
        <v>99</v>
      </c>
    </row>
    <row r="3" spans="1:5" x14ac:dyDescent="0.25">
      <c r="A3" s="3" t="s">
        <v>10</v>
      </c>
      <c r="B3" s="4">
        <f>data!C4</f>
        <v>2</v>
      </c>
      <c r="C3" s="4">
        <f>data!D4</f>
        <v>95</v>
      </c>
      <c r="D3" s="4">
        <f>data!E4</f>
        <v>95</v>
      </c>
      <c r="E3" s="4">
        <f>data!F4</f>
        <v>99</v>
      </c>
    </row>
    <row r="4" spans="1:5" x14ac:dyDescent="0.25">
      <c r="A4" s="3" t="s">
        <v>11</v>
      </c>
      <c r="B4" s="4">
        <f>data!C5+data!C6</f>
        <v>4</v>
      </c>
      <c r="C4" s="4">
        <f>(data!C5*data!D5+data!C6*data!D6)/(data!C5+data!C6)</f>
        <v>64</v>
      </c>
      <c r="D4" s="4">
        <f>data!E6</f>
        <v>38</v>
      </c>
      <c r="E4" s="4">
        <f>data!F6</f>
        <v>90</v>
      </c>
    </row>
    <row r="5" spans="1:5" x14ac:dyDescent="0.25">
      <c r="A5" s="3" t="s">
        <v>8</v>
      </c>
      <c r="B5" s="4">
        <f>data!C7+data!C8</f>
        <v>12</v>
      </c>
      <c r="C5" s="5">
        <f>(data!C7*data!D7+data!C8*data!D8)/(data!C7+data!C8)</f>
        <v>36.166666666666664</v>
      </c>
      <c r="D5" s="4">
        <f>data!E8</f>
        <v>0</v>
      </c>
      <c r="E5" s="4">
        <f>data!F8</f>
        <v>75</v>
      </c>
    </row>
    <row r="6" spans="1:5" x14ac:dyDescent="0.25">
      <c r="C6" s="4"/>
    </row>
    <row r="7" spans="1:5" x14ac:dyDescent="0.25">
      <c r="C7" s="4"/>
    </row>
    <row r="8" spans="1:5" x14ac:dyDescent="0.25">
      <c r="A8" s="3"/>
      <c r="C8" s="4"/>
    </row>
    <row r="9" spans="1:5" x14ac:dyDescent="0.25">
      <c r="A9" s="3"/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048567" spans="1:1" x14ac:dyDescent="0.25">
      <c r="A1048567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B58A-D4CA-478A-9675-C91FBFEFB3AE}">
  <dimension ref="A1:B10"/>
  <sheetViews>
    <sheetView workbookViewId="0">
      <selection activeCell="B4" sqref="B4"/>
    </sheetView>
  </sheetViews>
  <sheetFormatPr defaultRowHeight="15" x14ac:dyDescent="0.25"/>
  <cols>
    <col min="2" max="2" width="106.5703125" customWidth="1"/>
  </cols>
  <sheetData>
    <row r="1" spans="1:2" x14ac:dyDescent="0.25">
      <c r="A1" t="s">
        <v>12</v>
      </c>
    </row>
    <row r="3" spans="1:2" x14ac:dyDescent="0.25">
      <c r="A3" t="s">
        <v>13</v>
      </c>
    </row>
    <row r="4" spans="1:2" x14ac:dyDescent="0.25">
      <c r="B4" s="2" t="s">
        <v>1</v>
      </c>
    </row>
    <row r="5" spans="1:2" x14ac:dyDescent="0.25">
      <c r="B5" s="2" t="s">
        <v>2</v>
      </c>
    </row>
    <row r="6" spans="1:2" x14ac:dyDescent="0.25">
      <c r="B6" s="2" t="s">
        <v>3</v>
      </c>
    </row>
    <row r="7" spans="1:2" x14ac:dyDescent="0.25">
      <c r="B7" s="2" t="s">
        <v>4</v>
      </c>
    </row>
    <row r="8" spans="1:2" x14ac:dyDescent="0.25">
      <c r="B8" s="2" t="s">
        <v>5</v>
      </c>
    </row>
    <row r="9" spans="1:2" x14ac:dyDescent="0.25">
      <c r="B9" s="2" t="s">
        <v>6</v>
      </c>
    </row>
    <row r="10" spans="1:2" x14ac:dyDescent="0.25">
      <c r="B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avg.data</vt:lpstr>
      <vt:lpstr>info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2025-01-16T17:48:32Z</dcterms:created>
  <dcterms:modified xsi:type="dcterms:W3CDTF">2025-01-24T08:36:05Z</dcterms:modified>
</cp:coreProperties>
</file>